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tables/table1.xml" ContentType="application/vnd.openxmlformats-officedocument.spreadsheetml.table+xml"/>
  <Override PartName="/xl/drawings/drawing13.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https://d.docs.live.net/272e4b0e6bdde6ee/Desktop/"/>
    </mc:Choice>
  </mc:AlternateContent>
  <xr:revisionPtr revIDLastSave="7" documentId="8_{65316BAD-CE69-41E9-BADD-FB0FE77DE323}" xr6:coauthVersionLast="47" xr6:coauthVersionMax="47" xr10:uidLastSave="{DD5B5748-B023-488D-BA51-6C085124B688}"/>
  <bookViews>
    <workbookView xWindow="-108" yWindow="-108" windowWidth="23256" windowHeight="12456" firstSheet="9" activeTab="14" xr2:uid="{00000000-000D-0000-FFFF-FFFF00000000}"/>
  </bookViews>
  <sheets>
    <sheet name="Assumptions" sheetId="15" r:id="rId1"/>
    <sheet name="Historial IS" sheetId="7" r:id="rId2"/>
    <sheet name="Historical BS" sheetId="8" r:id="rId3"/>
    <sheet name="Historical CF" sheetId="9" r:id="rId4"/>
    <sheet name="Summary" sheetId="19" r:id="rId5"/>
    <sheet name="Beta" sheetId="10" r:id="rId6"/>
    <sheet name="Market Data" sheetId="11" r:id="rId7"/>
    <sheet name="Comps valution" sheetId="12" r:id="rId8"/>
    <sheet name="WACC" sheetId="13" r:id="rId9"/>
    <sheet name="Sheet1" sheetId="21" r:id="rId10"/>
    <sheet name="Forecasts &amp; support schedules" sheetId="14" r:id="rId11"/>
    <sheet name="Ratio analysis" sheetId="16" r:id="rId12"/>
    <sheet name="Common Size" sheetId="17" r:id="rId13"/>
    <sheet name="Profit &amp; Loss" sheetId="1" state="hidden" r:id="rId14"/>
    <sheet name="Quarters" sheetId="3" r:id="rId15"/>
    <sheet name="DCF valuation &amp; sensitivity" sheetId="20" r:id="rId16"/>
    <sheet name="Sheet5" sheetId="18" state="hidden" r:id="rId17"/>
    <sheet name="Balance Sheet" sheetId="2" state="hidden" r:id="rId18"/>
    <sheet name="Cash Flow" sheetId="4" state="hidden" r:id="rId19"/>
    <sheet name="Customization" sheetId="5" state="hidden" r:id="rId20"/>
    <sheet name="Data Sheet" sheetId="6" state="hidden" r:id="rId21"/>
  </sheets>
  <externalReferences>
    <externalReference r:id="rId22"/>
  </externalReferences>
  <definedNames>
    <definedName name="_xlnm._FilterDatabase" localSheetId="5" hidden="1">Beta!$C$4:$C$52</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I28" i="14" l="1"/>
  <c r="C25" i="15"/>
  <c r="G49" i="13"/>
  <c r="G44" i="13"/>
  <c r="G43" i="13"/>
  <c r="G10" i="19"/>
  <c r="G8" i="19"/>
  <c r="F10" i="19"/>
  <c r="F8" i="19"/>
  <c r="D9" i="19"/>
  <c r="D10" i="19" s="1"/>
  <c r="D7" i="19"/>
  <c r="D8" i="19" s="1"/>
  <c r="B96" i="17" l="1"/>
  <c r="B97" i="17"/>
  <c r="B98" i="17"/>
  <c r="B35" i="17"/>
  <c r="B36" i="17"/>
  <c r="B57" i="17"/>
  <c r="B61" i="17"/>
  <c r="B65" i="17"/>
  <c r="E27" i="17"/>
  <c r="F27" i="17" s="1"/>
  <c r="G27" i="17" s="1"/>
  <c r="H27" i="17" s="1"/>
  <c r="E18" i="17"/>
  <c r="F18" i="17"/>
  <c r="H15" i="17"/>
  <c r="D15" i="17"/>
  <c r="F13" i="17"/>
  <c r="F12" i="17"/>
  <c r="G12" i="17"/>
  <c r="H12" i="17"/>
  <c r="D12" i="17"/>
  <c r="H8" i="17"/>
  <c r="F9" i="17"/>
  <c r="D8" i="17"/>
  <c r="C26" i="15"/>
  <c r="C23" i="15"/>
  <c r="J11" i="14"/>
  <c r="K11" i="14"/>
  <c r="L11" i="14"/>
  <c r="M11" i="14"/>
  <c r="N11" i="14"/>
  <c r="O11" i="14"/>
  <c r="P11" i="14"/>
  <c r="Q11" i="14"/>
  <c r="R11" i="14"/>
  <c r="I11" i="14"/>
  <c r="H129" i="14"/>
  <c r="H130" i="14"/>
  <c r="H131" i="14"/>
  <c r="H132" i="14"/>
  <c r="H133" i="14"/>
  <c r="H134" i="14"/>
  <c r="H135" i="14"/>
  <c r="H136" i="14"/>
  <c r="H137" i="14"/>
  <c r="H138" i="14"/>
  <c r="H139" i="14"/>
  <c r="H140" i="14"/>
  <c r="H141" i="14"/>
  <c r="H142" i="14"/>
  <c r="H143" i="14"/>
  <c r="H144" i="14"/>
  <c r="H145" i="14"/>
  <c r="H146" i="14"/>
  <c r="H151" i="14"/>
  <c r="H152" i="14"/>
  <c r="H153" i="14"/>
  <c r="H154" i="14"/>
  <c r="H155" i="14"/>
  <c r="H156" i="14"/>
  <c r="H157" i="14"/>
  <c r="H158" i="14"/>
  <c r="H159" i="14"/>
  <c r="H160" i="14"/>
  <c r="H162" i="14"/>
  <c r="H164" i="14"/>
  <c r="H168" i="14"/>
  <c r="H169" i="14"/>
  <c r="H170" i="14"/>
  <c r="H171" i="14"/>
  <c r="H172" i="14"/>
  <c r="H173" i="14"/>
  <c r="H177" i="14"/>
  <c r="H178" i="14"/>
  <c r="H179" i="14"/>
  <c r="H180" i="14"/>
  <c r="H181" i="14"/>
  <c r="H182" i="14"/>
  <c r="H186" i="14"/>
  <c r="B165" i="14"/>
  <c r="D130" i="14"/>
  <c r="E130" i="14"/>
  <c r="F130" i="14"/>
  <c r="G130" i="14"/>
  <c r="D131" i="14"/>
  <c r="E131" i="14"/>
  <c r="F131" i="14"/>
  <c r="G131" i="14"/>
  <c r="D132" i="14"/>
  <c r="E132" i="14"/>
  <c r="F132" i="14"/>
  <c r="G132" i="14"/>
  <c r="D133" i="14"/>
  <c r="E133" i="14"/>
  <c r="F133" i="14"/>
  <c r="G133" i="14"/>
  <c r="D134" i="14"/>
  <c r="E134" i="14"/>
  <c r="F134" i="14"/>
  <c r="G134" i="14"/>
  <c r="D135" i="14"/>
  <c r="E135" i="14"/>
  <c r="F135" i="14"/>
  <c r="G135" i="14"/>
  <c r="D136" i="14"/>
  <c r="E136" i="14"/>
  <c r="F136" i="14"/>
  <c r="G136" i="14"/>
  <c r="D137" i="14"/>
  <c r="E137" i="14"/>
  <c r="F137" i="14"/>
  <c r="G137" i="14"/>
  <c r="D138" i="14"/>
  <c r="E138" i="14"/>
  <c r="F138" i="14"/>
  <c r="G138" i="14"/>
  <c r="D139" i="14"/>
  <c r="E139" i="14"/>
  <c r="F139" i="14"/>
  <c r="G139" i="14"/>
  <c r="D140" i="14"/>
  <c r="E140" i="14"/>
  <c r="F140" i="14"/>
  <c r="G140" i="14"/>
  <c r="D141" i="14"/>
  <c r="E141" i="14"/>
  <c r="F141" i="14"/>
  <c r="G141" i="14"/>
  <c r="D142" i="14"/>
  <c r="E142" i="14"/>
  <c r="F142" i="14"/>
  <c r="G142" i="14"/>
  <c r="D143" i="14"/>
  <c r="E143" i="14"/>
  <c r="F143" i="14"/>
  <c r="G143" i="14"/>
  <c r="D144" i="14"/>
  <c r="E144" i="14"/>
  <c r="F144" i="14"/>
  <c r="G144" i="14"/>
  <c r="D145" i="14"/>
  <c r="E145" i="14"/>
  <c r="F145" i="14"/>
  <c r="G145" i="14"/>
  <c r="D146" i="14"/>
  <c r="E146" i="14"/>
  <c r="F146" i="14"/>
  <c r="G146" i="14"/>
  <c r="D151" i="14"/>
  <c r="E151" i="14"/>
  <c r="F151" i="14"/>
  <c r="G151" i="14"/>
  <c r="D152" i="14"/>
  <c r="E152" i="14"/>
  <c r="F152" i="14"/>
  <c r="G152" i="14"/>
  <c r="D153" i="14"/>
  <c r="E153" i="14"/>
  <c r="F153" i="14"/>
  <c r="G153" i="14"/>
  <c r="D154" i="14"/>
  <c r="E154" i="14"/>
  <c r="F154" i="14"/>
  <c r="G154" i="14"/>
  <c r="D155" i="14"/>
  <c r="E155" i="14"/>
  <c r="F155" i="14"/>
  <c r="G155" i="14"/>
  <c r="D156" i="14"/>
  <c r="E156" i="14"/>
  <c r="F156" i="14"/>
  <c r="G156" i="14"/>
  <c r="D157" i="14"/>
  <c r="E157" i="14"/>
  <c r="F157" i="14"/>
  <c r="G157" i="14"/>
  <c r="D158" i="14"/>
  <c r="E158" i="14"/>
  <c r="F158" i="14"/>
  <c r="G158" i="14"/>
  <c r="D159" i="14"/>
  <c r="E159" i="14"/>
  <c r="F159" i="14"/>
  <c r="G159" i="14"/>
  <c r="D160" i="14"/>
  <c r="E160" i="14"/>
  <c r="F160" i="14"/>
  <c r="G160" i="14"/>
  <c r="E161" i="14"/>
  <c r="D162" i="14"/>
  <c r="E162" i="14"/>
  <c r="F162" i="14"/>
  <c r="G162" i="14"/>
  <c r="D164" i="14"/>
  <c r="E164" i="14"/>
  <c r="F164" i="14"/>
  <c r="G164" i="14"/>
  <c r="E165" i="14"/>
  <c r="F165" i="14"/>
  <c r="D168" i="14"/>
  <c r="E168" i="14"/>
  <c r="F168" i="14"/>
  <c r="G168" i="14"/>
  <c r="D169" i="14"/>
  <c r="E169" i="14"/>
  <c r="F169" i="14"/>
  <c r="G169" i="14"/>
  <c r="D170" i="14"/>
  <c r="E170" i="14"/>
  <c r="F170" i="14"/>
  <c r="G170" i="14"/>
  <c r="D171" i="14"/>
  <c r="E171" i="14"/>
  <c r="F171" i="14"/>
  <c r="G171" i="14"/>
  <c r="D172" i="14"/>
  <c r="E172" i="14"/>
  <c r="F172" i="14"/>
  <c r="G172" i="14"/>
  <c r="D173" i="14"/>
  <c r="E173" i="14"/>
  <c r="F173" i="14"/>
  <c r="G173" i="14"/>
  <c r="D174" i="14"/>
  <c r="E174" i="14"/>
  <c r="D177" i="14"/>
  <c r="E177" i="14"/>
  <c r="F177" i="14"/>
  <c r="G177" i="14"/>
  <c r="D178" i="14"/>
  <c r="E178" i="14"/>
  <c r="F178" i="14"/>
  <c r="G178" i="14"/>
  <c r="D179" i="14"/>
  <c r="E179" i="14"/>
  <c r="F179" i="14"/>
  <c r="G179" i="14"/>
  <c r="D180" i="14"/>
  <c r="E180" i="14"/>
  <c r="F180" i="14"/>
  <c r="G180" i="14"/>
  <c r="D181" i="14"/>
  <c r="E181" i="14"/>
  <c r="F181" i="14"/>
  <c r="G181" i="14"/>
  <c r="D182" i="14"/>
  <c r="E182" i="14"/>
  <c r="F182" i="14"/>
  <c r="G182" i="14"/>
  <c r="D183" i="14"/>
  <c r="G183" i="14"/>
  <c r="D186" i="14"/>
  <c r="E186" i="14"/>
  <c r="F186" i="14"/>
  <c r="G186" i="14"/>
  <c r="E129" i="14"/>
  <c r="F129" i="14"/>
  <c r="G129" i="14"/>
  <c r="D129" i="14"/>
  <c r="B129" i="14"/>
  <c r="B130" i="14"/>
  <c r="B131" i="14"/>
  <c r="B132" i="14"/>
  <c r="B133" i="14"/>
  <c r="B134" i="14"/>
  <c r="B135" i="14"/>
  <c r="B136" i="14"/>
  <c r="B137" i="14"/>
  <c r="B138" i="14"/>
  <c r="B139" i="14"/>
  <c r="B140" i="14"/>
  <c r="B141" i="14"/>
  <c r="B142" i="14"/>
  <c r="B143" i="14"/>
  <c r="B144" i="14"/>
  <c r="B145" i="14"/>
  <c r="B146" i="14"/>
  <c r="B147" i="14"/>
  <c r="B149" i="14"/>
  <c r="B150" i="14"/>
  <c r="B151" i="14"/>
  <c r="B152" i="14"/>
  <c r="B153" i="14"/>
  <c r="B154" i="14"/>
  <c r="B155" i="14"/>
  <c r="B156" i="14"/>
  <c r="B157" i="14"/>
  <c r="B158" i="14"/>
  <c r="B159" i="14"/>
  <c r="B160" i="14"/>
  <c r="B161" i="14"/>
  <c r="B162" i="14"/>
  <c r="B163" i="14"/>
  <c r="B164" i="14"/>
  <c r="B167" i="14"/>
  <c r="B168" i="14"/>
  <c r="B169" i="14"/>
  <c r="B170" i="14"/>
  <c r="B171" i="14"/>
  <c r="B172" i="14"/>
  <c r="B173" i="14"/>
  <c r="B174" i="14"/>
  <c r="B176" i="14"/>
  <c r="B177" i="14"/>
  <c r="B178" i="14"/>
  <c r="B179" i="14"/>
  <c r="B180" i="14"/>
  <c r="B181" i="14"/>
  <c r="B182" i="14"/>
  <c r="B183" i="14"/>
  <c r="B185" i="14"/>
  <c r="B186" i="14"/>
  <c r="B187" i="14"/>
  <c r="B128" i="14"/>
  <c r="E51" i="14"/>
  <c r="F51" i="14"/>
  <c r="G51" i="14"/>
  <c r="H51" i="14"/>
  <c r="E52" i="14"/>
  <c r="F52" i="14"/>
  <c r="G52" i="14"/>
  <c r="H52" i="14"/>
  <c r="E53" i="14"/>
  <c r="F53" i="14"/>
  <c r="G53" i="14"/>
  <c r="H53" i="14"/>
  <c r="E54" i="14"/>
  <c r="F54" i="14"/>
  <c r="G54" i="14"/>
  <c r="H54" i="14"/>
  <c r="E55" i="14"/>
  <c r="F55" i="14"/>
  <c r="G55" i="14"/>
  <c r="H55" i="14"/>
  <c r="E56" i="14"/>
  <c r="F56" i="14"/>
  <c r="G56" i="14"/>
  <c r="H56" i="14"/>
  <c r="E57" i="14"/>
  <c r="F57" i="14"/>
  <c r="G57" i="14"/>
  <c r="H57" i="14"/>
  <c r="E58" i="14"/>
  <c r="F58" i="14"/>
  <c r="G58" i="14"/>
  <c r="H58" i="14"/>
  <c r="E59" i="14"/>
  <c r="F59" i="14"/>
  <c r="G59" i="14"/>
  <c r="H59" i="14"/>
  <c r="E60" i="14"/>
  <c r="F60" i="14"/>
  <c r="G60" i="14"/>
  <c r="H60" i="14"/>
  <c r="E61" i="14"/>
  <c r="F61" i="14"/>
  <c r="G61" i="14"/>
  <c r="H61" i="14"/>
  <c r="E62" i="14"/>
  <c r="F62" i="14"/>
  <c r="G62" i="14"/>
  <c r="H62" i="14"/>
  <c r="E63" i="14"/>
  <c r="F63" i="14"/>
  <c r="G63" i="14"/>
  <c r="H63" i="14"/>
  <c r="E64" i="14"/>
  <c r="F64" i="14"/>
  <c r="G64" i="14"/>
  <c r="H64" i="14"/>
  <c r="E65" i="14"/>
  <c r="F65" i="14"/>
  <c r="G65" i="14"/>
  <c r="H65" i="14"/>
  <c r="E66" i="14"/>
  <c r="F66" i="14"/>
  <c r="G66" i="14"/>
  <c r="H66" i="14"/>
  <c r="E70" i="14"/>
  <c r="F70" i="14"/>
  <c r="G70" i="14"/>
  <c r="H70" i="14"/>
  <c r="H20" i="14" s="1"/>
  <c r="E71" i="14"/>
  <c r="F71" i="14"/>
  <c r="G71" i="14"/>
  <c r="H71" i="14"/>
  <c r="E72" i="14"/>
  <c r="F72" i="14"/>
  <c r="G72" i="14"/>
  <c r="H72" i="14"/>
  <c r="E73" i="14"/>
  <c r="F73" i="14"/>
  <c r="G73" i="14"/>
  <c r="H73" i="14"/>
  <c r="E74" i="14"/>
  <c r="F74" i="14"/>
  <c r="G74" i="14"/>
  <c r="H74" i="14"/>
  <c r="E75" i="14"/>
  <c r="F75" i="14"/>
  <c r="G75" i="14"/>
  <c r="H75" i="14"/>
  <c r="E76" i="14"/>
  <c r="F76" i="14"/>
  <c r="G76" i="14"/>
  <c r="H76" i="14"/>
  <c r="E77" i="14"/>
  <c r="F77" i="14"/>
  <c r="G77" i="14"/>
  <c r="H77" i="14"/>
  <c r="E78" i="14"/>
  <c r="F78" i="14"/>
  <c r="G78" i="14"/>
  <c r="H78" i="14"/>
  <c r="E79" i="14"/>
  <c r="F79" i="14"/>
  <c r="G79" i="14"/>
  <c r="H79" i="14"/>
  <c r="E80" i="14"/>
  <c r="F80" i="14"/>
  <c r="G80" i="14"/>
  <c r="H80" i="14"/>
  <c r="E88" i="14"/>
  <c r="F88" i="14"/>
  <c r="G88" i="14"/>
  <c r="H88" i="14"/>
  <c r="E89" i="14"/>
  <c r="F89" i="14"/>
  <c r="G89" i="14"/>
  <c r="H89" i="14"/>
  <c r="E91" i="14"/>
  <c r="F91" i="14"/>
  <c r="G91" i="14"/>
  <c r="H91" i="14"/>
  <c r="E96" i="14"/>
  <c r="F96" i="14"/>
  <c r="G96" i="14"/>
  <c r="H96" i="14"/>
  <c r="E97" i="14"/>
  <c r="D11" i="16" s="1"/>
  <c r="F97" i="14"/>
  <c r="G97" i="14"/>
  <c r="F11" i="16" s="1"/>
  <c r="H97" i="14"/>
  <c r="E98" i="14"/>
  <c r="F98" i="14"/>
  <c r="G98" i="14"/>
  <c r="H98" i="14"/>
  <c r="E99" i="14"/>
  <c r="F99" i="14"/>
  <c r="G99" i="14"/>
  <c r="H99" i="14"/>
  <c r="E100" i="14"/>
  <c r="F100" i="14"/>
  <c r="G100" i="14"/>
  <c r="H100" i="14"/>
  <c r="E101" i="14"/>
  <c r="F101" i="14"/>
  <c r="G101" i="14"/>
  <c r="H101" i="14"/>
  <c r="E102" i="14"/>
  <c r="F102" i="14"/>
  <c r="G102" i="14"/>
  <c r="H102" i="14"/>
  <c r="E103" i="14"/>
  <c r="F103" i="14"/>
  <c r="G103" i="14"/>
  <c r="H103" i="14"/>
  <c r="E104" i="14"/>
  <c r="F104" i="14"/>
  <c r="G104" i="14"/>
  <c r="H104" i="14"/>
  <c r="E105" i="14"/>
  <c r="F105" i="14"/>
  <c r="G105" i="14"/>
  <c r="H105" i="14"/>
  <c r="E106" i="14"/>
  <c r="F106" i="14"/>
  <c r="G106" i="14"/>
  <c r="H106" i="14"/>
  <c r="E110" i="14"/>
  <c r="F110" i="14"/>
  <c r="G110" i="14"/>
  <c r="H110" i="14"/>
  <c r="E111" i="14"/>
  <c r="F111" i="14"/>
  <c r="G111" i="14"/>
  <c r="H111" i="14"/>
  <c r="E112" i="14"/>
  <c r="F112" i="14"/>
  <c r="G112" i="14"/>
  <c r="H112" i="14"/>
  <c r="E113" i="14"/>
  <c r="F113" i="14"/>
  <c r="G113" i="14"/>
  <c r="H113" i="14"/>
  <c r="E114" i="14"/>
  <c r="F114" i="14"/>
  <c r="G114" i="14"/>
  <c r="H114" i="14"/>
  <c r="E115" i="14"/>
  <c r="F115" i="14"/>
  <c r="G115" i="14"/>
  <c r="H115" i="14"/>
  <c r="E117" i="14"/>
  <c r="F117" i="14"/>
  <c r="G117" i="14"/>
  <c r="H117" i="14"/>
  <c r="E118" i="14"/>
  <c r="F118" i="14"/>
  <c r="G118" i="14"/>
  <c r="H118" i="14"/>
  <c r="E119" i="14"/>
  <c r="F119" i="14"/>
  <c r="G119" i="14"/>
  <c r="H119" i="14"/>
  <c r="E120" i="14"/>
  <c r="F120" i="14"/>
  <c r="G120" i="14"/>
  <c r="H120" i="14"/>
  <c r="E121" i="14"/>
  <c r="F121" i="14"/>
  <c r="G121" i="14"/>
  <c r="H121" i="14"/>
  <c r="D52" i="14"/>
  <c r="D53" i="14"/>
  <c r="D54" i="14"/>
  <c r="D55" i="14"/>
  <c r="D56" i="14"/>
  <c r="D57" i="14"/>
  <c r="D58" i="14"/>
  <c r="D59" i="14"/>
  <c r="D60" i="14"/>
  <c r="D61" i="14"/>
  <c r="D62" i="14"/>
  <c r="D63" i="14"/>
  <c r="D64" i="14"/>
  <c r="D65" i="14"/>
  <c r="D66" i="14"/>
  <c r="D70" i="14"/>
  <c r="D71" i="14"/>
  <c r="D72" i="14"/>
  <c r="D73" i="14"/>
  <c r="D74" i="14"/>
  <c r="D75" i="14"/>
  <c r="D76" i="14"/>
  <c r="D77" i="14"/>
  <c r="D78" i="14"/>
  <c r="D79" i="14"/>
  <c r="D80" i="14"/>
  <c r="D88" i="14"/>
  <c r="D89" i="14"/>
  <c r="D91" i="14"/>
  <c r="D96" i="14"/>
  <c r="D97" i="14"/>
  <c r="C11" i="16" s="1"/>
  <c r="D98" i="14"/>
  <c r="D99" i="14"/>
  <c r="D100" i="14"/>
  <c r="D101" i="14"/>
  <c r="D102" i="14"/>
  <c r="D103" i="14"/>
  <c r="D104" i="14"/>
  <c r="D105" i="14"/>
  <c r="D106" i="14"/>
  <c r="D110" i="14"/>
  <c r="D111" i="14"/>
  <c r="D112" i="14"/>
  <c r="D113" i="14"/>
  <c r="D114" i="14"/>
  <c r="D115" i="14"/>
  <c r="D117" i="14"/>
  <c r="D118" i="14"/>
  <c r="D119" i="14"/>
  <c r="D120" i="14"/>
  <c r="D121" i="14"/>
  <c r="D51" i="14"/>
  <c r="D22" i="14" s="1"/>
  <c r="D14" i="14" s="1"/>
  <c r="B124" i="14"/>
  <c r="B109" i="14"/>
  <c r="B88" i="17" s="1"/>
  <c r="B110" i="14"/>
  <c r="B89" i="17" s="1"/>
  <c r="B111" i="14"/>
  <c r="B90" i="17" s="1"/>
  <c r="B112" i="14"/>
  <c r="B91" i="17" s="1"/>
  <c r="B113" i="14"/>
  <c r="B92" i="17" s="1"/>
  <c r="B114" i="14"/>
  <c r="B93" i="17" s="1"/>
  <c r="B115" i="14"/>
  <c r="B94" i="17" s="1"/>
  <c r="B116" i="14"/>
  <c r="B95" i="17" s="1"/>
  <c r="B117" i="14"/>
  <c r="B118" i="14"/>
  <c r="B119" i="14"/>
  <c r="B120" i="14"/>
  <c r="B99" i="17" s="1"/>
  <c r="B121" i="14"/>
  <c r="B100" i="17" s="1"/>
  <c r="B122" i="14"/>
  <c r="B101" i="17" s="1"/>
  <c r="B92" i="14"/>
  <c r="B71" i="17" s="1"/>
  <c r="B94" i="14"/>
  <c r="B73" i="17" s="1"/>
  <c r="B95" i="14"/>
  <c r="B74" i="17" s="1"/>
  <c r="B96" i="14"/>
  <c r="B75" i="17" s="1"/>
  <c r="B97" i="14"/>
  <c r="B76" i="17" s="1"/>
  <c r="B98" i="14"/>
  <c r="B77" i="17" s="1"/>
  <c r="B99" i="14"/>
  <c r="B78" i="17" s="1"/>
  <c r="B100" i="14"/>
  <c r="B79" i="17" s="1"/>
  <c r="B101" i="14"/>
  <c r="B80" i="17" s="1"/>
  <c r="B102" i="14"/>
  <c r="B81" i="17" s="1"/>
  <c r="B103" i="14"/>
  <c r="B82" i="17" s="1"/>
  <c r="B104" i="14"/>
  <c r="B83" i="17" s="1"/>
  <c r="B105" i="14"/>
  <c r="B84" i="17" s="1"/>
  <c r="B106" i="14"/>
  <c r="B85" i="17" s="1"/>
  <c r="B107" i="14"/>
  <c r="B86" i="17" s="1"/>
  <c r="B84" i="14"/>
  <c r="B85" i="14"/>
  <c r="B86" i="14"/>
  <c r="B87" i="14"/>
  <c r="B66" i="17" s="1"/>
  <c r="B88" i="14"/>
  <c r="B67" i="17" s="1"/>
  <c r="B89" i="14"/>
  <c r="B68" i="17" s="1"/>
  <c r="B90" i="14"/>
  <c r="B69" i="17" s="1"/>
  <c r="B91" i="14"/>
  <c r="B70" i="17" s="1"/>
  <c r="B80" i="14"/>
  <c r="B60" i="17" s="1"/>
  <c r="B81" i="14"/>
  <c r="B51" i="14"/>
  <c r="B31" i="17" s="1"/>
  <c r="B52" i="14"/>
  <c r="B32" i="17" s="1"/>
  <c r="B53" i="14"/>
  <c r="B33" i="17" s="1"/>
  <c r="B54" i="14"/>
  <c r="B34" i="17" s="1"/>
  <c r="B55" i="14"/>
  <c r="B56" i="14"/>
  <c r="B57" i="14"/>
  <c r="B37" i="17" s="1"/>
  <c r="B58" i="14"/>
  <c r="B38" i="17" s="1"/>
  <c r="B59" i="14"/>
  <c r="B39" i="17" s="1"/>
  <c r="B60" i="14"/>
  <c r="B40" i="17" s="1"/>
  <c r="B61" i="14"/>
  <c r="B41" i="17" s="1"/>
  <c r="B62" i="14"/>
  <c r="B42" i="17" s="1"/>
  <c r="B63" i="14"/>
  <c r="B43" i="17" s="1"/>
  <c r="B64" i="14"/>
  <c r="B44" i="17" s="1"/>
  <c r="B65" i="14"/>
  <c r="B45" i="17" s="1"/>
  <c r="B66" i="14"/>
  <c r="B46" i="17" s="1"/>
  <c r="B67" i="14"/>
  <c r="B47" i="17" s="1"/>
  <c r="B69" i="14"/>
  <c r="B49" i="17" s="1"/>
  <c r="B70" i="14"/>
  <c r="B50" i="17" s="1"/>
  <c r="B71" i="14"/>
  <c r="B51" i="17" s="1"/>
  <c r="B72" i="14"/>
  <c r="B52" i="17" s="1"/>
  <c r="B73" i="14"/>
  <c r="B53" i="17" s="1"/>
  <c r="B74" i="14"/>
  <c r="B54" i="17" s="1"/>
  <c r="B75" i="14"/>
  <c r="B55" i="17" s="1"/>
  <c r="B76" i="14"/>
  <c r="B56" i="17" s="1"/>
  <c r="B77" i="14"/>
  <c r="B78" i="14"/>
  <c r="B58" i="17" s="1"/>
  <c r="B79" i="14"/>
  <c r="B59" i="17" s="1"/>
  <c r="B50" i="14"/>
  <c r="B30" i="17" s="1"/>
  <c r="K72" i="8"/>
  <c r="D116" i="14" s="1"/>
  <c r="T15" i="7"/>
  <c r="E37" i="14"/>
  <c r="F37" i="14"/>
  <c r="G37" i="14"/>
  <c r="H37" i="14"/>
  <c r="D37" i="14"/>
  <c r="D17" i="14" s="1"/>
  <c r="E36" i="14"/>
  <c r="F36" i="14"/>
  <c r="G36" i="14"/>
  <c r="H36" i="14"/>
  <c r="D36" i="14"/>
  <c r="E34" i="14"/>
  <c r="F34" i="14"/>
  <c r="G34" i="14"/>
  <c r="H34" i="14"/>
  <c r="D34" i="14"/>
  <c r="E32" i="14"/>
  <c r="F32" i="14"/>
  <c r="G32" i="14"/>
  <c r="G13" i="17" s="1"/>
  <c r="H32" i="14"/>
  <c r="H13" i="17" s="1"/>
  <c r="D32" i="14"/>
  <c r="E31" i="14"/>
  <c r="F31" i="14"/>
  <c r="G31" i="14"/>
  <c r="H31" i="14"/>
  <c r="D31" i="14"/>
  <c r="D13" i="14" s="1"/>
  <c r="E28" i="14"/>
  <c r="E9" i="17" s="1"/>
  <c r="F28" i="14"/>
  <c r="G28" i="14"/>
  <c r="H28" i="14"/>
  <c r="K18" i="7"/>
  <c r="L16" i="7"/>
  <c r="L18" i="7" s="1"/>
  <c r="M16" i="7"/>
  <c r="M18" i="7" s="1"/>
  <c r="N16" i="7"/>
  <c r="N18" i="7" s="1"/>
  <c r="O16" i="7"/>
  <c r="O18" i="7" s="1"/>
  <c r="K16" i="7"/>
  <c r="D28" i="14"/>
  <c r="D13" i="17" s="1"/>
  <c r="E27" i="14"/>
  <c r="E13" i="14" s="1"/>
  <c r="F27" i="14"/>
  <c r="G27" i="14"/>
  <c r="G9" i="17" s="1"/>
  <c r="H27" i="14"/>
  <c r="H18" i="14" s="1"/>
  <c r="I18" i="14" s="1"/>
  <c r="J18" i="14" s="1"/>
  <c r="K18" i="14" s="1"/>
  <c r="L18" i="14" s="1"/>
  <c r="M18" i="14" s="1"/>
  <c r="N18" i="14" s="1"/>
  <c r="O18" i="14" s="1"/>
  <c r="P18" i="14" s="1"/>
  <c r="Q18" i="14" s="1"/>
  <c r="R18" i="14" s="1"/>
  <c r="D27" i="14"/>
  <c r="D9" i="17" s="1"/>
  <c r="D10" i="17" s="1"/>
  <c r="I20" i="13"/>
  <c r="G30" i="13" s="1"/>
  <c r="J20" i="13"/>
  <c r="M18" i="13"/>
  <c r="N18" i="13"/>
  <c r="O18" i="13"/>
  <c r="M17" i="13"/>
  <c r="N17" i="13"/>
  <c r="O17" i="13"/>
  <c r="J11" i="13"/>
  <c r="J12" i="13"/>
  <c r="J13" i="13"/>
  <c r="J14" i="13"/>
  <c r="J15" i="13"/>
  <c r="J10" i="13"/>
  <c r="I11" i="13"/>
  <c r="I12" i="13"/>
  <c r="I13" i="13"/>
  <c r="I14" i="13"/>
  <c r="I15" i="13"/>
  <c r="I10" i="13"/>
  <c r="H22" i="12"/>
  <c r="H23" i="12"/>
  <c r="H21" i="12"/>
  <c r="G21" i="12"/>
  <c r="I21" i="12" s="1"/>
  <c r="F21" i="12"/>
  <c r="E21" i="12"/>
  <c r="P18" i="12"/>
  <c r="Q18" i="12"/>
  <c r="Q16" i="12"/>
  <c r="C22" i="12" s="1"/>
  <c r="E22" i="12" s="1"/>
  <c r="G22" i="12" s="1"/>
  <c r="I22" i="12" s="1"/>
  <c r="R16" i="12"/>
  <c r="C23" i="12" s="1"/>
  <c r="G23" i="12" s="1"/>
  <c r="I23" i="12" s="1"/>
  <c r="Q15" i="12"/>
  <c r="R15" i="12"/>
  <c r="P8" i="12"/>
  <c r="P9" i="12"/>
  <c r="P10" i="12"/>
  <c r="P11" i="12"/>
  <c r="P12" i="12"/>
  <c r="P13" i="12"/>
  <c r="F8" i="11"/>
  <c r="F6" i="11"/>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7" i="10"/>
  <c r="G60" i="9"/>
  <c r="E183" i="14" s="1"/>
  <c r="H60" i="9"/>
  <c r="F183" i="14" s="1"/>
  <c r="I60" i="9"/>
  <c r="F60" i="9"/>
  <c r="G51" i="9"/>
  <c r="H51" i="9"/>
  <c r="F174" i="14" s="1"/>
  <c r="I51" i="9"/>
  <c r="G174" i="14" s="1"/>
  <c r="J51" i="9"/>
  <c r="H174" i="14" s="1"/>
  <c r="F51" i="9"/>
  <c r="G24" i="9"/>
  <c r="G38" i="9" s="1"/>
  <c r="G40" i="9" s="1"/>
  <c r="G42" i="9" s="1"/>
  <c r="H24" i="9"/>
  <c r="H38" i="9" s="1"/>
  <c r="H40" i="9" s="1"/>
  <c r="H42" i="9" s="1"/>
  <c r="I24" i="9"/>
  <c r="I38" i="9" s="1"/>
  <c r="I40" i="9" s="1"/>
  <c r="I42" i="9" s="1"/>
  <c r="J24" i="9"/>
  <c r="J38" i="9" s="1"/>
  <c r="J40" i="9" s="1"/>
  <c r="J42" i="9" s="1"/>
  <c r="H165" i="14" s="1"/>
  <c r="F24" i="9"/>
  <c r="F38" i="9" s="1"/>
  <c r="F40" i="9" s="1"/>
  <c r="F42" i="9" s="1"/>
  <c r="D165" i="14" s="1"/>
  <c r="E13" i="17" l="1"/>
  <c r="E12" i="17"/>
  <c r="G13" i="14"/>
  <c r="F16" i="14"/>
  <c r="E16" i="14"/>
  <c r="G8" i="17"/>
  <c r="G10" i="17" s="1"/>
  <c r="F15" i="17"/>
  <c r="H17" i="14"/>
  <c r="I17" i="14" s="1"/>
  <c r="J17" i="14" s="1"/>
  <c r="K17" i="14" s="1"/>
  <c r="L17" i="14" s="1"/>
  <c r="M17" i="14" s="1"/>
  <c r="N17" i="14" s="1"/>
  <c r="O17" i="14" s="1"/>
  <c r="P17" i="14" s="1"/>
  <c r="Q17" i="14" s="1"/>
  <c r="R17" i="14" s="1"/>
  <c r="F8" i="17"/>
  <c r="F10" i="17" s="1"/>
  <c r="E15" i="17"/>
  <c r="G17" i="14"/>
  <c r="G16" i="14"/>
  <c r="E8" i="17"/>
  <c r="E10" i="17" s="1"/>
  <c r="D18" i="17"/>
  <c r="H20" i="17"/>
  <c r="G20" i="17"/>
  <c r="E12" i="14"/>
  <c r="D16" i="14"/>
  <c r="F17" i="14"/>
  <c r="H9" i="17"/>
  <c r="H10" i="17" s="1"/>
  <c r="H18" i="17"/>
  <c r="G15" i="17"/>
  <c r="H16" i="14"/>
  <c r="I16" i="14" s="1"/>
  <c r="J16" i="14" s="1"/>
  <c r="K16" i="14" s="1"/>
  <c r="L16" i="14" s="1"/>
  <c r="M16" i="14" s="1"/>
  <c r="N16" i="14" s="1"/>
  <c r="O16" i="14" s="1"/>
  <c r="P16" i="14" s="1"/>
  <c r="Q16" i="14" s="1"/>
  <c r="R16" i="14" s="1"/>
  <c r="E17" i="14"/>
  <c r="G18" i="17"/>
  <c r="D75" i="17"/>
  <c r="F84" i="17"/>
  <c r="F82" i="17"/>
  <c r="F79" i="17"/>
  <c r="D79" i="17"/>
  <c r="G11" i="16"/>
  <c r="H52" i="17"/>
  <c r="F52" i="17"/>
  <c r="F20" i="14"/>
  <c r="G20" i="14"/>
  <c r="H37" i="17"/>
  <c r="H33" i="17"/>
  <c r="G41" i="17"/>
  <c r="G35" i="17"/>
  <c r="I62" i="9"/>
  <c r="I64" i="9" s="1"/>
  <c r="G187" i="14" s="1"/>
  <c r="F163" i="14"/>
  <c r="E163" i="14"/>
  <c r="F161" i="14"/>
  <c r="D163" i="14"/>
  <c r="H161" i="14"/>
  <c r="D161" i="14"/>
  <c r="H163" i="14"/>
  <c r="G185" i="14"/>
  <c r="E147" i="14"/>
  <c r="G147" i="14"/>
  <c r="D147" i="14"/>
  <c r="H147" i="14"/>
  <c r="F147" i="14"/>
  <c r="G165" i="14"/>
  <c r="G163" i="14"/>
  <c r="G161" i="14"/>
  <c r="P15" i="12"/>
  <c r="P16" i="12"/>
  <c r="C21" i="12" s="1"/>
  <c r="K11" i="13"/>
  <c r="L15" i="13"/>
  <c r="L12" i="13"/>
  <c r="L13" i="13"/>
  <c r="L10" i="13"/>
  <c r="G31" i="13"/>
  <c r="L14" i="13"/>
  <c r="F14" i="17"/>
  <c r="E14" i="17"/>
  <c r="D14" i="17"/>
  <c r="D16" i="17" s="1"/>
  <c r="G14" i="17"/>
  <c r="H14" i="17"/>
  <c r="H16" i="17" s="1"/>
  <c r="E11" i="16"/>
  <c r="D21" i="14"/>
  <c r="E18" i="14"/>
  <c r="H22" i="14"/>
  <c r="C9" i="16"/>
  <c r="F18" i="14"/>
  <c r="H13" i="14"/>
  <c r="I13" i="14" s="1"/>
  <c r="J13" i="14" s="1"/>
  <c r="K13" i="14" s="1"/>
  <c r="L13" i="14" s="1"/>
  <c r="M13" i="14" s="1"/>
  <c r="N13" i="14" s="1"/>
  <c r="O13" i="14" s="1"/>
  <c r="P13" i="14" s="1"/>
  <c r="Q13" i="14" s="1"/>
  <c r="R13" i="14" s="1"/>
  <c r="D18" i="14"/>
  <c r="D20" i="14"/>
  <c r="G22" i="14"/>
  <c r="G14" i="14" s="1"/>
  <c r="I27" i="14"/>
  <c r="I31" i="14" s="1"/>
  <c r="G9" i="16"/>
  <c r="F22" i="14"/>
  <c r="F14" i="14" s="1"/>
  <c r="F9" i="16"/>
  <c r="G12" i="14"/>
  <c r="E22" i="14"/>
  <c r="E14" i="14" s="1"/>
  <c r="E9" i="16"/>
  <c r="H12" i="14"/>
  <c r="D9" i="16"/>
  <c r="E20" i="14"/>
  <c r="I20" i="14"/>
  <c r="J20" i="14" s="1"/>
  <c r="K20" i="14" s="1"/>
  <c r="L20" i="14" s="1"/>
  <c r="M20" i="14" s="1"/>
  <c r="N20" i="14" s="1"/>
  <c r="O20" i="14" s="1"/>
  <c r="P20" i="14" s="1"/>
  <c r="Q20" i="14" s="1"/>
  <c r="R20" i="14" s="1"/>
  <c r="F15" i="14"/>
  <c r="E15" i="14"/>
  <c r="G18" i="14"/>
  <c r="F11" i="14"/>
  <c r="F29" i="14"/>
  <c r="E29" i="14"/>
  <c r="F12" i="14"/>
  <c r="D15" i="14"/>
  <c r="F13" i="14"/>
  <c r="H15" i="14"/>
  <c r="I15" i="14" s="1"/>
  <c r="J15" i="14" s="1"/>
  <c r="K15" i="14" s="1"/>
  <c r="L15" i="14" s="1"/>
  <c r="M15" i="14" s="1"/>
  <c r="N15" i="14" s="1"/>
  <c r="O15" i="14" s="1"/>
  <c r="P15" i="14" s="1"/>
  <c r="Q15" i="14" s="1"/>
  <c r="R15" i="14" s="1"/>
  <c r="H11" i="14"/>
  <c r="G29" i="14"/>
  <c r="G15" i="14"/>
  <c r="G11" i="14"/>
  <c r="E11" i="14"/>
  <c r="D29" i="14"/>
  <c r="H29" i="14"/>
  <c r="D12" i="14"/>
  <c r="K10" i="13"/>
  <c r="L11" i="13"/>
  <c r="H62" i="9"/>
  <c r="G62" i="9"/>
  <c r="F62" i="9"/>
  <c r="K63" i="8"/>
  <c r="D107" i="14" s="1"/>
  <c r="D76" i="17" s="1"/>
  <c r="M63" i="8"/>
  <c r="F107" i="14" s="1"/>
  <c r="F85" i="17" s="1"/>
  <c r="K78" i="8"/>
  <c r="D122" i="14" s="1"/>
  <c r="D89" i="17" s="1"/>
  <c r="L72" i="8"/>
  <c r="E116" i="14" s="1"/>
  <c r="M72" i="8"/>
  <c r="F116" i="14" s="1"/>
  <c r="N72" i="8"/>
  <c r="G116" i="14" s="1"/>
  <c r="O72" i="8"/>
  <c r="H116" i="14" s="1"/>
  <c r="H21" i="14" s="1"/>
  <c r="I21" i="14" s="1"/>
  <c r="J21" i="14" s="1"/>
  <c r="K21" i="14" s="1"/>
  <c r="L21" i="14" s="1"/>
  <c r="M21" i="14" s="1"/>
  <c r="N21" i="14" s="1"/>
  <c r="O21" i="14" s="1"/>
  <c r="P21" i="14" s="1"/>
  <c r="Q21" i="14" s="1"/>
  <c r="R21" i="14" s="1"/>
  <c r="L46" i="8"/>
  <c r="M46" i="8"/>
  <c r="N46" i="8"/>
  <c r="O46" i="8"/>
  <c r="K46" i="8"/>
  <c r="L37" i="8"/>
  <c r="E81" i="14" s="1"/>
  <c r="E59" i="17" s="1"/>
  <c r="K37" i="8"/>
  <c r="D81" i="14" s="1"/>
  <c r="D59" i="17" s="1"/>
  <c r="O3" i="8"/>
  <c r="J3" i="9" s="1"/>
  <c r="H5" i="14" s="1"/>
  <c r="G3" i="16" s="1"/>
  <c r="H5" i="17" s="1"/>
  <c r="N3" i="8"/>
  <c r="I3" i="9" s="1"/>
  <c r="G5" i="14" s="1"/>
  <c r="F3" i="16" s="1"/>
  <c r="G5" i="17" s="1"/>
  <c r="M3" i="8"/>
  <c r="H3" i="9" s="1"/>
  <c r="F5" i="14" s="1"/>
  <c r="E3" i="16" s="1"/>
  <c r="F5" i="17" s="1"/>
  <c r="L3" i="8"/>
  <c r="G3" i="9" s="1"/>
  <c r="E5" i="14" s="1"/>
  <c r="D3" i="16" s="1"/>
  <c r="E5" i="17" s="1"/>
  <c r="K3" i="8"/>
  <c r="F3" i="9" s="1"/>
  <c r="D5" i="14" s="1"/>
  <c r="C3" i="16" s="1"/>
  <c r="D5" i="17" s="1"/>
  <c r="O63" i="8"/>
  <c r="H107" i="14" s="1"/>
  <c r="H84" i="17" s="1"/>
  <c r="N63" i="8"/>
  <c r="G107" i="14" s="1"/>
  <c r="G82" i="17" s="1"/>
  <c r="L63" i="8"/>
  <c r="E107" i="14" s="1"/>
  <c r="E75" i="17" s="1"/>
  <c r="O37" i="8"/>
  <c r="H81" i="14" s="1"/>
  <c r="N37" i="8"/>
  <c r="G81" i="14" s="1"/>
  <c r="M37" i="8"/>
  <c r="F81" i="14" s="1"/>
  <c r="F50" i="17" s="1"/>
  <c r="O23" i="8"/>
  <c r="H67" i="14" s="1"/>
  <c r="H35" i="17" s="1"/>
  <c r="N23" i="8"/>
  <c r="G67" i="14" s="1"/>
  <c r="G37" i="17" s="1"/>
  <c r="M23" i="8"/>
  <c r="F67" i="14" s="1"/>
  <c r="F42" i="17" s="1"/>
  <c r="L23" i="8"/>
  <c r="E67" i="14" s="1"/>
  <c r="E34" i="17" s="1"/>
  <c r="K23" i="8"/>
  <c r="D67" i="14" s="1"/>
  <c r="D44" i="17" s="1"/>
  <c r="M35" i="7"/>
  <c r="N35" i="7"/>
  <c r="O35" i="7"/>
  <c r="L35" i="7"/>
  <c r="L26" i="7"/>
  <c r="E39" i="14" s="1"/>
  <c r="E20" i="17" s="1"/>
  <c r="M26" i="7"/>
  <c r="F39" i="14" s="1"/>
  <c r="F20" i="17" s="1"/>
  <c r="N26" i="7"/>
  <c r="G39" i="14" s="1"/>
  <c r="O26" i="7"/>
  <c r="H39" i="14" s="1"/>
  <c r="I39" i="14" s="1"/>
  <c r="J39" i="14" s="1"/>
  <c r="K39" i="14" s="1"/>
  <c r="L39" i="14" s="1"/>
  <c r="M39" i="14" s="1"/>
  <c r="N39" i="14" s="1"/>
  <c r="O39" i="14" s="1"/>
  <c r="P39" i="14" s="1"/>
  <c r="Q39" i="14" s="1"/>
  <c r="R39" i="14" s="1"/>
  <c r="K26" i="7"/>
  <c r="D39" i="14" s="1"/>
  <c r="D20" i="17" s="1"/>
  <c r="K6" i="7"/>
  <c r="L6" i="7"/>
  <c r="M6" i="7"/>
  <c r="N6" i="7"/>
  <c r="O6" i="7"/>
  <c r="K3" i="7"/>
  <c r="K34" i="7" s="1"/>
  <c r="L3" i="7"/>
  <c r="L34" i="7" s="1"/>
  <c r="M3" i="7"/>
  <c r="M34" i="7" s="1"/>
  <c r="N3" i="7"/>
  <c r="N34" i="7" s="1"/>
  <c r="O3" i="7"/>
  <c r="O34" i="7" s="1"/>
  <c r="I36" i="14" l="1"/>
  <c r="J36" i="14" s="1"/>
  <c r="K36" i="14" s="1"/>
  <c r="L36" i="14" s="1"/>
  <c r="M36" i="14" s="1"/>
  <c r="N36" i="14" s="1"/>
  <c r="O36" i="14" s="1"/>
  <c r="P36" i="14" s="1"/>
  <c r="Q36" i="14" s="1"/>
  <c r="R36" i="14" s="1"/>
  <c r="G16" i="17"/>
  <c r="J27" i="14"/>
  <c r="E16" i="17"/>
  <c r="F16" i="17"/>
  <c r="I37" i="14"/>
  <c r="J37" i="14" s="1"/>
  <c r="K37" i="14" s="1"/>
  <c r="E38" i="17"/>
  <c r="G31" i="17"/>
  <c r="F44" i="17"/>
  <c r="G45" i="17"/>
  <c r="E42" i="17"/>
  <c r="G39" i="17"/>
  <c r="G44" i="17"/>
  <c r="D51" i="17"/>
  <c r="G80" i="17"/>
  <c r="G36" i="17"/>
  <c r="G43" i="17"/>
  <c r="D38" i="17"/>
  <c r="D53" i="17"/>
  <c r="D77" i="17"/>
  <c r="E84" i="17"/>
  <c r="H39" i="17"/>
  <c r="H76" i="17"/>
  <c r="D78" i="17"/>
  <c r="E40" i="17"/>
  <c r="F46" i="17"/>
  <c r="D56" i="17"/>
  <c r="G42" i="17"/>
  <c r="H32" i="17"/>
  <c r="G46" i="17"/>
  <c r="H43" i="17"/>
  <c r="H36" i="17"/>
  <c r="E51" i="17"/>
  <c r="E76" i="17"/>
  <c r="E79" i="17"/>
  <c r="D90" i="17"/>
  <c r="H34" i="17"/>
  <c r="F32" i="17"/>
  <c r="H40" i="17"/>
  <c r="E53" i="17"/>
  <c r="F77" i="17"/>
  <c r="D99" i="17"/>
  <c r="D39" i="17"/>
  <c r="D95" i="17"/>
  <c r="G21" i="14"/>
  <c r="F10" i="16" s="1"/>
  <c r="E21" i="14"/>
  <c r="D10" i="16" s="1"/>
  <c r="D91" i="17"/>
  <c r="F21" i="14"/>
  <c r="E10" i="16" s="1"/>
  <c r="D97" i="17"/>
  <c r="D93" i="17"/>
  <c r="D94" i="17"/>
  <c r="D96" i="17"/>
  <c r="O78" i="8"/>
  <c r="H122" i="14" s="1"/>
  <c r="D98" i="17"/>
  <c r="D100" i="17"/>
  <c r="D92" i="17"/>
  <c r="E85" i="17"/>
  <c r="E83" i="17"/>
  <c r="E77" i="17"/>
  <c r="G77" i="17"/>
  <c r="G81" i="17"/>
  <c r="G85" i="17"/>
  <c r="G75" i="17"/>
  <c r="G79" i="17"/>
  <c r="G83" i="17"/>
  <c r="G76" i="17"/>
  <c r="G78" i="17"/>
  <c r="H82" i="17"/>
  <c r="G84" i="17"/>
  <c r="D80" i="17"/>
  <c r="D81" i="17"/>
  <c r="D82" i="17"/>
  <c r="D83" i="17"/>
  <c r="E78" i="17"/>
  <c r="F76" i="17"/>
  <c r="D84" i="17"/>
  <c r="F75" i="17"/>
  <c r="E81" i="17"/>
  <c r="H77" i="17"/>
  <c r="H81" i="17"/>
  <c r="H85" i="17"/>
  <c r="H75" i="17"/>
  <c r="H79" i="17"/>
  <c r="H83" i="17"/>
  <c r="F83" i="17"/>
  <c r="E80" i="17"/>
  <c r="D85" i="17"/>
  <c r="F78" i="17"/>
  <c r="H78" i="17"/>
  <c r="F81" i="17"/>
  <c r="E82" i="17"/>
  <c r="F80" i="17"/>
  <c r="H80" i="17"/>
  <c r="D50" i="17"/>
  <c r="D55" i="17"/>
  <c r="H53" i="17"/>
  <c r="H57" i="17"/>
  <c r="H55" i="17"/>
  <c r="H51" i="17"/>
  <c r="H59" i="17"/>
  <c r="E57" i="17"/>
  <c r="D52" i="17"/>
  <c r="F58" i="17"/>
  <c r="D54" i="17"/>
  <c r="H58" i="17"/>
  <c r="H60" i="17"/>
  <c r="D60" i="17"/>
  <c r="F53" i="17"/>
  <c r="F51" i="17"/>
  <c r="F55" i="17"/>
  <c r="F57" i="17"/>
  <c r="F59" i="17"/>
  <c r="F56" i="17"/>
  <c r="E52" i="17"/>
  <c r="E56" i="17"/>
  <c r="E60" i="17"/>
  <c r="E50" i="17"/>
  <c r="E54" i="17"/>
  <c r="E58" i="17"/>
  <c r="F54" i="17"/>
  <c r="G51" i="17"/>
  <c r="G55" i="17"/>
  <c r="G53" i="17"/>
  <c r="G57" i="17"/>
  <c r="G59" i="17"/>
  <c r="E55" i="17"/>
  <c r="F60" i="17"/>
  <c r="G54" i="17"/>
  <c r="G50" i="17"/>
  <c r="H50" i="17"/>
  <c r="D57" i="17"/>
  <c r="G60" i="17"/>
  <c r="G52" i="17"/>
  <c r="G56" i="17"/>
  <c r="D58" i="17"/>
  <c r="H54" i="17"/>
  <c r="G58" i="17"/>
  <c r="H56" i="17"/>
  <c r="D42" i="17"/>
  <c r="E44" i="17"/>
  <c r="D46" i="17"/>
  <c r="D37" i="17"/>
  <c r="F31" i="17"/>
  <c r="F33" i="17"/>
  <c r="F35" i="17"/>
  <c r="F37" i="17"/>
  <c r="F39" i="17"/>
  <c r="F41" i="17"/>
  <c r="F43" i="17"/>
  <c r="F45" i="17"/>
  <c r="E46" i="17"/>
  <c r="D45" i="17"/>
  <c r="E32" i="17"/>
  <c r="D36" i="17"/>
  <c r="H38" i="17"/>
  <c r="D34" i="17"/>
  <c r="F36" i="17"/>
  <c r="G32" i="17"/>
  <c r="H44" i="17"/>
  <c r="H41" i="17"/>
  <c r="H42" i="17"/>
  <c r="H31" i="17"/>
  <c r="F38" i="17"/>
  <c r="G38" i="17"/>
  <c r="G33" i="17"/>
  <c r="H45" i="17"/>
  <c r="D31" i="17"/>
  <c r="D32" i="17"/>
  <c r="D40" i="17"/>
  <c r="D33" i="17"/>
  <c r="D41" i="17"/>
  <c r="D43" i="17"/>
  <c r="E31" i="17"/>
  <c r="E33" i="17"/>
  <c r="E35" i="17"/>
  <c r="E37" i="17"/>
  <c r="E39" i="17"/>
  <c r="E41" i="17"/>
  <c r="E43" i="17"/>
  <c r="E45" i="17"/>
  <c r="F34" i="17"/>
  <c r="E36" i="17"/>
  <c r="G34" i="17"/>
  <c r="H46" i="17"/>
  <c r="F40" i="17"/>
  <c r="G40" i="17"/>
  <c r="D35" i="17"/>
  <c r="F64" i="9"/>
  <c r="D187" i="14" s="1"/>
  <c r="D185" i="14"/>
  <c r="G64" i="9"/>
  <c r="E187" i="14" s="1"/>
  <c r="E185" i="14"/>
  <c r="H64" i="9"/>
  <c r="F187" i="14" s="1"/>
  <c r="F185" i="14"/>
  <c r="L18" i="13"/>
  <c r="G26" i="13" s="1"/>
  <c r="G27" i="13" s="1"/>
  <c r="C10" i="16"/>
  <c r="L78" i="8"/>
  <c r="E122" i="14" s="1"/>
  <c r="O48" i="8"/>
  <c r="H92" i="14" s="1"/>
  <c r="H90" i="14"/>
  <c r="N48" i="8"/>
  <c r="G92" i="14" s="1"/>
  <c r="G90" i="14"/>
  <c r="G69" i="17" s="1"/>
  <c r="G71" i="17" s="1"/>
  <c r="M48" i="8"/>
  <c r="F92" i="14" s="1"/>
  <c r="F90" i="14"/>
  <c r="N78" i="8"/>
  <c r="G122" i="14" s="1"/>
  <c r="L48" i="8"/>
  <c r="E92" i="14" s="1"/>
  <c r="E90" i="14"/>
  <c r="M78" i="8"/>
  <c r="F122" i="14" s="1"/>
  <c r="F30" i="16"/>
  <c r="K48" i="8"/>
  <c r="D92" i="14" s="1"/>
  <c r="D90" i="14"/>
  <c r="D69" i="17" s="1"/>
  <c r="D71" i="17" s="1"/>
  <c r="G33" i="14"/>
  <c r="F15" i="16"/>
  <c r="N36" i="7" s="1"/>
  <c r="E33" i="14"/>
  <c r="D15" i="16"/>
  <c r="L36" i="7" s="1"/>
  <c r="H14" i="14"/>
  <c r="I14" i="14" s="1"/>
  <c r="I22" i="14"/>
  <c r="J22" i="14" s="1"/>
  <c r="K22" i="14" s="1"/>
  <c r="L22" i="14" s="1"/>
  <c r="M22" i="14" s="1"/>
  <c r="N22" i="14" s="1"/>
  <c r="O22" i="14" s="1"/>
  <c r="P22" i="14" s="1"/>
  <c r="Q22" i="14" s="1"/>
  <c r="R22" i="14" s="1"/>
  <c r="H33" i="14"/>
  <c r="G15" i="16"/>
  <c r="O36" i="7" s="1"/>
  <c r="F33" i="14"/>
  <c r="E15" i="16"/>
  <c r="M36" i="7" s="1"/>
  <c r="G10" i="16"/>
  <c r="I34" i="14"/>
  <c r="J34" i="14" s="1"/>
  <c r="K34" i="14" s="1"/>
  <c r="L34" i="14" s="1"/>
  <c r="M34" i="14" s="1"/>
  <c r="N34" i="14" s="1"/>
  <c r="O34" i="14" s="1"/>
  <c r="P34" i="14" s="1"/>
  <c r="Q34" i="14" s="1"/>
  <c r="R34" i="14" s="1"/>
  <c r="D33" i="14"/>
  <c r="C15" i="16"/>
  <c r="K36" i="7" s="1"/>
  <c r="I12" i="14"/>
  <c r="L37" i="14"/>
  <c r="M37" i="14" s="1"/>
  <c r="N37" i="14" s="1"/>
  <c r="O37" i="14" s="1"/>
  <c r="P37" i="14" s="1"/>
  <c r="Q37" i="14" s="1"/>
  <c r="R37" i="14" s="1"/>
  <c r="J31" i="14"/>
  <c r="K27" i="14"/>
  <c r="K17" i="13"/>
  <c r="K18" i="13"/>
  <c r="L17" i="13"/>
  <c r="O20" i="7"/>
  <c r="O28" i="7" s="1"/>
  <c r="O32" i="7" s="1"/>
  <c r="M20" i="7"/>
  <c r="M28" i="7" s="1"/>
  <c r="M32" i="7" s="1"/>
  <c r="K20" i="7"/>
  <c r="K28" i="7" s="1"/>
  <c r="K32" i="7" s="1"/>
  <c r="K40" i="8"/>
  <c r="D84" i="14" s="1"/>
  <c r="O40" i="8"/>
  <c r="H84" i="14" s="1"/>
  <c r="G25" i="16" s="1"/>
  <c r="M40" i="8"/>
  <c r="F84" i="14" s="1"/>
  <c r="L40" i="8"/>
  <c r="E84" i="14" s="1"/>
  <c r="N40" i="8"/>
  <c r="G84" i="14" s="1"/>
  <c r="L20" i="7"/>
  <c r="L28" i="7" s="1"/>
  <c r="L32" i="7" s="1"/>
  <c r="N20" i="7"/>
  <c r="N28" i="7" s="1"/>
  <c r="N32" i="7" s="1"/>
  <c r="D86" i="17" l="1"/>
  <c r="E86" i="17"/>
  <c r="H47" i="17"/>
  <c r="F61" i="17"/>
  <c r="E61" i="17"/>
  <c r="F25" i="16"/>
  <c r="F29" i="16" s="1"/>
  <c r="D101" i="17"/>
  <c r="G96" i="17"/>
  <c r="G98" i="17"/>
  <c r="G100" i="17"/>
  <c r="G89" i="17"/>
  <c r="G92" i="17"/>
  <c r="G93" i="17"/>
  <c r="G99" i="17"/>
  <c r="G97" i="17"/>
  <c r="G90" i="17"/>
  <c r="G94" i="17"/>
  <c r="G91" i="17"/>
  <c r="E98" i="17"/>
  <c r="E100" i="17"/>
  <c r="E96" i="17"/>
  <c r="E93" i="17"/>
  <c r="E90" i="17"/>
  <c r="E91" i="17"/>
  <c r="E99" i="17"/>
  <c r="E89" i="17"/>
  <c r="E94" i="17"/>
  <c r="E97" i="17"/>
  <c r="E92" i="17"/>
  <c r="G95" i="17"/>
  <c r="H90" i="17"/>
  <c r="H96" i="17"/>
  <c r="H98" i="17"/>
  <c r="H100" i="17"/>
  <c r="H99" i="17"/>
  <c r="H92" i="17"/>
  <c r="H97" i="17"/>
  <c r="H94" i="17"/>
  <c r="H89" i="17"/>
  <c r="H93" i="17"/>
  <c r="H91" i="17"/>
  <c r="H95" i="17"/>
  <c r="O80" i="8"/>
  <c r="H124" i="14" s="1"/>
  <c r="G6" i="16" s="1"/>
  <c r="O85" i="8" s="1"/>
  <c r="E95" i="17"/>
  <c r="F96" i="17"/>
  <c r="F98" i="17"/>
  <c r="F100" i="17"/>
  <c r="F92" i="17"/>
  <c r="F94" i="17"/>
  <c r="F91" i="17"/>
  <c r="F90" i="17"/>
  <c r="F89" i="17"/>
  <c r="F99" i="17"/>
  <c r="F97" i="17"/>
  <c r="F93" i="17"/>
  <c r="F95" i="17"/>
  <c r="F86" i="17"/>
  <c r="H86" i="17"/>
  <c r="G86" i="17"/>
  <c r="D70" i="17"/>
  <c r="D67" i="17"/>
  <c r="D68" i="17"/>
  <c r="C30" i="16"/>
  <c r="D30" i="16"/>
  <c r="E69" i="17"/>
  <c r="E71" i="17" s="1"/>
  <c r="G30" i="16"/>
  <c r="H69" i="17"/>
  <c r="H71" i="17" s="1"/>
  <c r="E30" i="16"/>
  <c r="F69" i="17"/>
  <c r="F71" i="17" s="1"/>
  <c r="F70" i="17"/>
  <c r="F68" i="17"/>
  <c r="F67" i="17"/>
  <c r="G67" i="17"/>
  <c r="G68" i="17"/>
  <c r="G70" i="17"/>
  <c r="E70" i="17"/>
  <c r="E67" i="17"/>
  <c r="E68" i="17"/>
  <c r="H67" i="17"/>
  <c r="H70" i="17"/>
  <c r="H68" i="17"/>
  <c r="H61" i="17"/>
  <c r="G61" i="17"/>
  <c r="D25" i="16"/>
  <c r="L40" i="7" s="1"/>
  <c r="D61" i="17"/>
  <c r="D47" i="17"/>
  <c r="F47" i="17"/>
  <c r="G47" i="17"/>
  <c r="E47" i="17"/>
  <c r="L80" i="8"/>
  <c r="E124" i="14" s="1"/>
  <c r="D6" i="16" s="1"/>
  <c r="L85" i="8" s="1"/>
  <c r="N80" i="8"/>
  <c r="G124" i="14" s="1"/>
  <c r="F6" i="16" s="1"/>
  <c r="N85" i="8" s="1"/>
  <c r="K80" i="8"/>
  <c r="D124" i="14" s="1"/>
  <c r="M80" i="8"/>
  <c r="F124" i="14" s="1"/>
  <c r="N40" i="7"/>
  <c r="D29" i="16"/>
  <c r="G29" i="16"/>
  <c r="O40" i="7"/>
  <c r="E25" i="16"/>
  <c r="C25" i="16"/>
  <c r="J14" i="14"/>
  <c r="K14" i="14" s="1"/>
  <c r="L14" i="14" s="1"/>
  <c r="M14" i="14" s="1"/>
  <c r="N14" i="14" s="1"/>
  <c r="O14" i="14" s="1"/>
  <c r="P14" i="14" s="1"/>
  <c r="Q14" i="14" s="1"/>
  <c r="R14" i="14" s="1"/>
  <c r="I32" i="14"/>
  <c r="E35" i="14"/>
  <c r="E17" i="17" s="1"/>
  <c r="E19" i="17" s="1"/>
  <c r="E21" i="17" s="1"/>
  <c r="L37" i="7"/>
  <c r="H35" i="14"/>
  <c r="H17" i="17" s="1"/>
  <c r="H19" i="17" s="1"/>
  <c r="H21" i="17" s="1"/>
  <c r="O37" i="7"/>
  <c r="G35" i="14"/>
  <c r="G17" i="17" s="1"/>
  <c r="G19" i="17" s="1"/>
  <c r="G21" i="17" s="1"/>
  <c r="N37" i="7"/>
  <c r="D35" i="14"/>
  <c r="D17" i="17" s="1"/>
  <c r="D19" i="17" s="1"/>
  <c r="D21" i="17" s="1"/>
  <c r="K37" i="7"/>
  <c r="F35" i="14"/>
  <c r="F17" i="17" s="1"/>
  <c r="F19" i="17" s="1"/>
  <c r="F21" i="17" s="1"/>
  <c r="M37" i="7"/>
  <c r="J12" i="14"/>
  <c r="K12" i="14" s="1"/>
  <c r="L12" i="14" s="1"/>
  <c r="M12" i="14" s="1"/>
  <c r="N12" i="14" s="1"/>
  <c r="O12" i="14" s="1"/>
  <c r="P12" i="14" s="1"/>
  <c r="Q12" i="14" s="1"/>
  <c r="R12" i="14" s="1"/>
  <c r="K31" i="14"/>
  <c r="L27" i="14"/>
  <c r="D6" i="3"/>
  <c r="E6" i="3"/>
  <c r="F6" i="3"/>
  <c r="F14" i="3" s="1"/>
  <c r="G6" i="3"/>
  <c r="G14" i="3" s="1"/>
  <c r="H6" i="3"/>
  <c r="I6" i="3"/>
  <c r="J6" i="3"/>
  <c r="K6" i="3"/>
  <c r="L6" i="3"/>
  <c r="C6" i="3"/>
  <c r="C5" i="1"/>
  <c r="D5" i="1"/>
  <c r="E5" i="1"/>
  <c r="F5" i="1"/>
  <c r="G5" i="1"/>
  <c r="H5" i="1"/>
  <c r="I5" i="1"/>
  <c r="J5" i="1"/>
  <c r="K5" i="1"/>
  <c r="B5" i="1"/>
  <c r="C13" i="1"/>
  <c r="F13" i="1"/>
  <c r="G13" i="1"/>
  <c r="J13" i="1"/>
  <c r="J14" i="1" s="1"/>
  <c r="B6" i="6"/>
  <c r="C17" i="2"/>
  <c r="D17" i="2"/>
  <c r="E17" i="2"/>
  <c r="F17" i="2"/>
  <c r="G17" i="2"/>
  <c r="H17" i="2"/>
  <c r="I17" i="2"/>
  <c r="J17" i="2"/>
  <c r="K17" i="2"/>
  <c r="C18" i="2"/>
  <c r="D18" i="2"/>
  <c r="D21" i="2" s="1"/>
  <c r="E18" i="2"/>
  <c r="E21" i="2" s="1"/>
  <c r="F18" i="2"/>
  <c r="F21" i="2" s="1"/>
  <c r="G18" i="2"/>
  <c r="H18" i="2"/>
  <c r="I18" i="2"/>
  <c r="J18" i="2"/>
  <c r="K18" i="2"/>
  <c r="B17" i="2"/>
  <c r="C4" i="2"/>
  <c r="D4" i="2"/>
  <c r="E4" i="2"/>
  <c r="F24" i="2" s="1"/>
  <c r="E5" i="2"/>
  <c r="F4" i="2"/>
  <c r="G4" i="2"/>
  <c r="H4" i="2"/>
  <c r="I4" i="2"/>
  <c r="I5" i="2"/>
  <c r="J4" i="2"/>
  <c r="J5" i="2"/>
  <c r="K4" i="2"/>
  <c r="C5" i="2"/>
  <c r="D5" i="2"/>
  <c r="F5" i="2"/>
  <c r="F23" i="2" s="1"/>
  <c r="G5" i="2"/>
  <c r="G23" i="2" s="1"/>
  <c r="H5" i="2"/>
  <c r="H23" i="2" s="1"/>
  <c r="K5" i="2"/>
  <c r="K23" i="2" s="1"/>
  <c r="C6" i="2"/>
  <c r="D6" i="2"/>
  <c r="E6" i="2"/>
  <c r="F6" i="2"/>
  <c r="G6" i="2"/>
  <c r="H6" i="2"/>
  <c r="I6" i="2"/>
  <c r="J6" i="2"/>
  <c r="K6" i="2"/>
  <c r="C7" i="2"/>
  <c r="D7" i="2"/>
  <c r="E7" i="2"/>
  <c r="F7" i="2"/>
  <c r="F16" i="2" s="1"/>
  <c r="G7" i="2"/>
  <c r="G16" i="2" s="1"/>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D16" i="2" s="1"/>
  <c r="E13" i="2"/>
  <c r="F13" i="2"/>
  <c r="G13" i="2"/>
  <c r="H13" i="2"/>
  <c r="H16" i="2" s="1"/>
  <c r="I13" i="2"/>
  <c r="J13" i="2"/>
  <c r="J16" i="2" s="1"/>
  <c r="K13" i="2"/>
  <c r="K16" i="2" s="1"/>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D4" i="3"/>
  <c r="E4" i="3"/>
  <c r="F4" i="3"/>
  <c r="G4" i="3"/>
  <c r="H4" i="3"/>
  <c r="I4" i="3"/>
  <c r="J4" i="3"/>
  <c r="J14" i="3" s="1"/>
  <c r="K4" i="3"/>
  <c r="L4" i="3"/>
  <c r="D5" i="3"/>
  <c r="E5" i="3"/>
  <c r="F5" i="3"/>
  <c r="G5" i="3"/>
  <c r="H5" i="3"/>
  <c r="I5" i="3"/>
  <c r="J5" i="3"/>
  <c r="K5" i="3"/>
  <c r="L5" i="3"/>
  <c r="D7" i="3"/>
  <c r="E7" i="3"/>
  <c r="F7" i="3"/>
  <c r="G7" i="3"/>
  <c r="H7" i="3"/>
  <c r="I7" i="3"/>
  <c r="J7" i="3"/>
  <c r="K7" i="3"/>
  <c r="L7" i="3"/>
  <c r="D8" i="3"/>
  <c r="E8" i="3"/>
  <c r="F8" i="3"/>
  <c r="G8" i="3"/>
  <c r="H8" i="3"/>
  <c r="I8" i="3"/>
  <c r="J8" i="3"/>
  <c r="K8" i="3"/>
  <c r="L8" i="3"/>
  <c r="D9" i="3"/>
  <c r="E9" i="3"/>
  <c r="F9" i="3"/>
  <c r="G9" i="3"/>
  <c r="H9" i="3"/>
  <c r="I9" i="3"/>
  <c r="J9" i="3"/>
  <c r="K9" i="3"/>
  <c r="L9" i="3"/>
  <c r="D10" i="3"/>
  <c r="E10" i="3"/>
  <c r="F10" i="3"/>
  <c r="G10" i="3"/>
  <c r="H10" i="3"/>
  <c r="I10" i="3"/>
  <c r="J10" i="3"/>
  <c r="K10" i="3"/>
  <c r="L10" i="3"/>
  <c r="D11" i="3"/>
  <c r="E11" i="3"/>
  <c r="F11" i="3"/>
  <c r="G11" i="3"/>
  <c r="H11" i="3"/>
  <c r="I11" i="3"/>
  <c r="J11" i="3"/>
  <c r="K11" i="3"/>
  <c r="L11" i="3"/>
  <c r="L11" i="1" s="1"/>
  <c r="D12" i="3"/>
  <c r="E12" i="3"/>
  <c r="F12" i="3"/>
  <c r="G12" i="3"/>
  <c r="H12" i="3"/>
  <c r="I12" i="3"/>
  <c r="J12" i="3"/>
  <c r="K12" i="3"/>
  <c r="L12" i="3"/>
  <c r="C5" i="3"/>
  <c r="C18" i="1"/>
  <c r="D18" i="1"/>
  <c r="E18" i="1"/>
  <c r="F18" i="1"/>
  <c r="G18" i="1"/>
  <c r="H18" i="1"/>
  <c r="I18" i="1"/>
  <c r="J18" i="1"/>
  <c r="K18" i="1"/>
  <c r="B18" i="1"/>
  <c r="C4" i="1"/>
  <c r="D4" i="1"/>
  <c r="I23" i="1" s="1"/>
  <c r="E4" i="1"/>
  <c r="E6" i="1" s="1"/>
  <c r="E19" i="1" s="1"/>
  <c r="F4" i="1"/>
  <c r="F20" i="2" s="1"/>
  <c r="G4" i="1"/>
  <c r="G6" i="1" s="1"/>
  <c r="G19" i="1" s="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D12" i="1"/>
  <c r="E12" i="1"/>
  <c r="F12" i="1"/>
  <c r="G12" i="1"/>
  <c r="H12" i="1"/>
  <c r="H13" i="1" s="1"/>
  <c r="I12" i="1"/>
  <c r="I23" i="2" s="1"/>
  <c r="J12" i="1"/>
  <c r="K12" i="1"/>
  <c r="K13" i="1" s="1"/>
  <c r="K14" i="1" s="1"/>
  <c r="C15" i="1"/>
  <c r="C14" i="1" s="1"/>
  <c r="D15" i="1"/>
  <c r="E15" i="1"/>
  <c r="F15" i="1"/>
  <c r="F14" i="1"/>
  <c r="G15" i="1"/>
  <c r="G14" i="1" s="1"/>
  <c r="H15" i="1"/>
  <c r="I15" i="1"/>
  <c r="J15" i="1"/>
  <c r="K15" i="1"/>
  <c r="B15" i="1"/>
  <c r="B7" i="1"/>
  <c r="B4" i="1"/>
  <c r="B20" i="2" s="1"/>
  <c r="A1" i="1"/>
  <c r="E1" i="6"/>
  <c r="H1" i="1" s="1"/>
  <c r="E1" i="2"/>
  <c r="C23" i="2"/>
  <c r="C16" i="2"/>
  <c r="D23" i="2"/>
  <c r="I6" i="1"/>
  <c r="I19" i="1" s="1"/>
  <c r="J6" i="1"/>
  <c r="J19" i="1" s="1"/>
  <c r="K6" i="1"/>
  <c r="K19" i="1" s="1"/>
  <c r="C6" i="1"/>
  <c r="C19" i="1"/>
  <c r="D6" i="1"/>
  <c r="D19" i="1" s="1"/>
  <c r="C3" i="4"/>
  <c r="D3" i="4"/>
  <c r="E3" i="4"/>
  <c r="F3" i="4"/>
  <c r="G3" i="4"/>
  <c r="H3" i="4"/>
  <c r="I3" i="4"/>
  <c r="J3" i="4"/>
  <c r="K3" i="4"/>
  <c r="C3" i="2"/>
  <c r="D3" i="2"/>
  <c r="E3" i="2"/>
  <c r="F3" i="2"/>
  <c r="G3" i="2"/>
  <c r="H3" i="2"/>
  <c r="I3" i="2"/>
  <c r="J3" i="2"/>
  <c r="K3" i="2"/>
  <c r="D3" i="3"/>
  <c r="E3" i="3"/>
  <c r="F3" i="3"/>
  <c r="G3" i="3"/>
  <c r="H3" i="3"/>
  <c r="I3" i="3"/>
  <c r="J3" i="3"/>
  <c r="K3" i="3"/>
  <c r="L3" i="3"/>
  <c r="C3" i="1"/>
  <c r="D3" i="1"/>
  <c r="E3" i="1"/>
  <c r="F3" i="1"/>
  <c r="G3" i="1"/>
  <c r="H3" i="1"/>
  <c r="I3" i="1"/>
  <c r="J3" i="1"/>
  <c r="K3" i="1"/>
  <c r="B7" i="4"/>
  <c r="B6" i="4"/>
  <c r="B5" i="4"/>
  <c r="B4" i="4"/>
  <c r="B3" i="4"/>
  <c r="K21" i="2"/>
  <c r="J21" i="2"/>
  <c r="I21" i="2"/>
  <c r="H21" i="2"/>
  <c r="G21" i="2"/>
  <c r="C21" i="2"/>
  <c r="B18" i="2"/>
  <c r="B21" i="2"/>
  <c r="B13" i="2"/>
  <c r="B16" i="2" s="1"/>
  <c r="B12" i="2"/>
  <c r="B11" i="2"/>
  <c r="B10" i="2"/>
  <c r="B8" i="2"/>
  <c r="B7" i="2"/>
  <c r="B6" i="2"/>
  <c r="B3" i="2"/>
  <c r="C12" i="3"/>
  <c r="C11" i="3"/>
  <c r="C10" i="3"/>
  <c r="C9" i="3"/>
  <c r="C8" i="3"/>
  <c r="C7" i="3"/>
  <c r="C4" i="3"/>
  <c r="C3" i="3"/>
  <c r="L15" i="1"/>
  <c r="B12" i="1"/>
  <c r="B13" i="1" s="1"/>
  <c r="B11" i="1"/>
  <c r="B10" i="1"/>
  <c r="B9" i="1"/>
  <c r="B8" i="1"/>
  <c r="B3" i="1"/>
  <c r="H14" i="3"/>
  <c r="K20" i="2"/>
  <c r="D20" i="2"/>
  <c r="J20" i="2"/>
  <c r="C20" i="2"/>
  <c r="E20" i="2"/>
  <c r="A1" i="2"/>
  <c r="A1" i="4"/>
  <c r="H23" i="1"/>
  <c r="H101" i="17" l="1"/>
  <c r="G101" i="17"/>
  <c r="G7" i="16"/>
  <c r="O86" i="8" s="1"/>
  <c r="E101" i="17"/>
  <c r="F101" i="17"/>
  <c r="L6" i="1"/>
  <c r="C14" i="3"/>
  <c r="L12" i="1"/>
  <c r="L13" i="1" s="1"/>
  <c r="L14" i="1" s="1"/>
  <c r="L25" i="1" s="1"/>
  <c r="K14" i="3"/>
  <c r="L5" i="1"/>
  <c r="L4" i="1"/>
  <c r="L23" i="1" s="1"/>
  <c r="I14" i="3"/>
  <c r="L10" i="1"/>
  <c r="N11" i="1" s="1"/>
  <c r="C7" i="16"/>
  <c r="K86" i="8" s="1"/>
  <c r="C6" i="16"/>
  <c r="K85" i="8" s="1"/>
  <c r="J32" i="14"/>
  <c r="K32" i="14" s="1"/>
  <c r="L32" i="14" s="1"/>
  <c r="M32" i="14" s="1"/>
  <c r="N32" i="14" s="1"/>
  <c r="O32" i="14" s="1"/>
  <c r="P32" i="14" s="1"/>
  <c r="Q32" i="14" s="1"/>
  <c r="R32" i="14" s="1"/>
  <c r="D7" i="16"/>
  <c r="L86" i="8" s="1"/>
  <c r="F7" i="16"/>
  <c r="N86" i="8" s="1"/>
  <c r="E29" i="16"/>
  <c r="M40" i="7"/>
  <c r="E7" i="16"/>
  <c r="M86" i="8" s="1"/>
  <c r="E6" i="16"/>
  <c r="M85" i="8" s="1"/>
  <c r="C29" i="16"/>
  <c r="K40" i="7"/>
  <c r="G38" i="14"/>
  <c r="G40" i="14" s="1"/>
  <c r="G42" i="14" s="1"/>
  <c r="F16" i="16"/>
  <c r="F8" i="16"/>
  <c r="N38" i="7"/>
  <c r="F18" i="16"/>
  <c r="J28" i="14"/>
  <c r="I29" i="14"/>
  <c r="I33" i="14" s="1"/>
  <c r="I35" i="14" s="1"/>
  <c r="I38" i="14" s="1"/>
  <c r="I40" i="14" s="1"/>
  <c r="I42" i="14" s="1"/>
  <c r="I44" i="14" s="1"/>
  <c r="H38" i="14"/>
  <c r="H40" i="14" s="1"/>
  <c r="O38" i="7"/>
  <c r="G16" i="16"/>
  <c r="G8" i="16"/>
  <c r="G18" i="16"/>
  <c r="F38" i="14"/>
  <c r="F40" i="14" s="1"/>
  <c r="F42" i="14" s="1"/>
  <c r="E8" i="16"/>
  <c r="E18" i="16"/>
  <c r="E16" i="16"/>
  <c r="M38" i="7"/>
  <c r="E38" i="14"/>
  <c r="E40" i="14" s="1"/>
  <c r="E42" i="14" s="1"/>
  <c r="D18" i="16"/>
  <c r="L38" i="7"/>
  <c r="D8" i="16"/>
  <c r="D16" i="16"/>
  <c r="D38" i="14"/>
  <c r="D40" i="14" s="1"/>
  <c r="D42" i="14" s="1"/>
  <c r="C18" i="16"/>
  <c r="K38" i="7"/>
  <c r="C16" i="16"/>
  <c r="C8" i="16"/>
  <c r="L31" i="14"/>
  <c r="M27" i="14"/>
  <c r="I24" i="2"/>
  <c r="I14" i="1"/>
  <c r="K25" i="1" s="1"/>
  <c r="M25" i="1" s="1"/>
  <c r="M14" i="1" s="1"/>
  <c r="C24" i="2"/>
  <c r="H24" i="2"/>
  <c r="E24" i="2"/>
  <c r="D24" i="2"/>
  <c r="J23" i="1"/>
  <c r="I13" i="1"/>
  <c r="G24" i="2"/>
  <c r="D13" i="1"/>
  <c r="E13" i="1" s="1"/>
  <c r="E14" i="1" s="1"/>
  <c r="G20" i="2"/>
  <c r="J24" i="2"/>
  <c r="D14" i="1"/>
  <c r="B23" i="2"/>
  <c r="H14" i="1"/>
  <c r="B6" i="1"/>
  <c r="B19" i="1" s="1"/>
  <c r="K24" i="1"/>
  <c r="L9" i="1"/>
  <c r="N9" i="1" s="1"/>
  <c r="L8" i="1"/>
  <c r="N8" i="1" s="1"/>
  <c r="L7" i="1"/>
  <c r="E14" i="3"/>
  <c r="E16" i="2"/>
  <c r="J23" i="2"/>
  <c r="E23" i="2"/>
  <c r="B14" i="1"/>
  <c r="L14" i="3"/>
  <c r="D14" i="3"/>
  <c r="I16" i="2"/>
  <c r="K24" i="2"/>
  <c r="J25" i="1"/>
  <c r="I20" i="2"/>
  <c r="J24" i="1"/>
  <c r="H20" i="2"/>
  <c r="K23" i="1"/>
  <c r="H6" i="1"/>
  <c r="H19" i="1" s="1"/>
  <c r="I24" i="1" s="1"/>
  <c r="F6" i="1"/>
  <c r="F19" i="1" s="1"/>
  <c r="E1" i="4"/>
  <c r="D44" i="14" l="1"/>
  <c r="K39" i="7" s="1"/>
  <c r="D23" i="17"/>
  <c r="D25" i="17" s="1"/>
  <c r="E44" i="14"/>
  <c r="E23" i="17"/>
  <c r="E25" i="17" s="1"/>
  <c r="G44" i="14"/>
  <c r="F17" i="16" s="1"/>
  <c r="F24" i="16" s="1"/>
  <c r="G23" i="17"/>
  <c r="G25" i="17" s="1"/>
  <c r="F44" i="14"/>
  <c r="M39" i="7" s="1"/>
  <c r="F23" i="17"/>
  <c r="F25" i="17" s="1"/>
  <c r="M23" i="1"/>
  <c r="M4" i="1" s="1"/>
  <c r="M11" i="1"/>
  <c r="M8" i="1"/>
  <c r="L19" i="1"/>
  <c r="L24" i="1" s="1"/>
  <c r="M24" i="1" s="1"/>
  <c r="M9" i="1"/>
  <c r="L39" i="7"/>
  <c r="D17" i="16"/>
  <c r="D24" i="16" s="1"/>
  <c r="N39" i="7"/>
  <c r="H42" i="14"/>
  <c r="H23" i="17" s="1"/>
  <c r="H25" i="17" s="1"/>
  <c r="K28" i="14"/>
  <c r="J29" i="14"/>
  <c r="J33" i="14" s="1"/>
  <c r="J35" i="14" s="1"/>
  <c r="J38" i="14" s="1"/>
  <c r="J40" i="14" s="1"/>
  <c r="J42" i="14" s="1"/>
  <c r="J44" i="14" s="1"/>
  <c r="N27" i="14"/>
  <c r="M31" i="14"/>
  <c r="I25" i="1"/>
  <c r="H25" i="1"/>
  <c r="H24" i="1"/>
  <c r="N24" i="1" s="1"/>
  <c r="N23" i="1"/>
  <c r="N4" i="1" s="1"/>
  <c r="N6" i="1" s="1"/>
  <c r="M6" i="1"/>
  <c r="M10" i="1" s="1"/>
  <c r="M12" i="1" s="1"/>
  <c r="M13" i="1" s="1"/>
  <c r="M15" i="1" s="1"/>
  <c r="C17" i="16" l="1"/>
  <c r="C24" i="16" s="1"/>
  <c r="C28" i="16" s="1"/>
  <c r="C27" i="16" s="1"/>
  <c r="E17" i="16"/>
  <c r="E24" i="16" s="1"/>
  <c r="E28" i="16" s="1"/>
  <c r="E27" i="16" s="1"/>
  <c r="H44" i="14"/>
  <c r="N25" i="1"/>
  <c r="N14" i="1" s="1"/>
  <c r="D28" i="16"/>
  <c r="D27" i="16" s="1"/>
  <c r="D23" i="16"/>
  <c r="O39" i="7"/>
  <c r="G17" i="16"/>
  <c r="G24" i="16" s="1"/>
  <c r="L28" i="14"/>
  <c r="K29" i="14"/>
  <c r="K33" i="14" s="1"/>
  <c r="K35" i="14" s="1"/>
  <c r="K38" i="14" s="1"/>
  <c r="K40" i="14" s="1"/>
  <c r="K42" i="14" s="1"/>
  <c r="K44" i="14" s="1"/>
  <c r="F28" i="16"/>
  <c r="F27" i="16" s="1"/>
  <c r="F23" i="16"/>
  <c r="O27" i="14"/>
  <c r="N31" i="14"/>
  <c r="N10" i="1"/>
  <c r="N12" i="1" s="1"/>
  <c r="N13" i="1" s="1"/>
  <c r="N5" i="1"/>
  <c r="M5" i="1"/>
  <c r="C23" i="16" l="1"/>
  <c r="E23" i="16"/>
  <c r="N15" i="1"/>
  <c r="M28" i="14"/>
  <c r="L29" i="14"/>
  <c r="L33" i="14" s="1"/>
  <c r="L35" i="14" s="1"/>
  <c r="L38" i="14" s="1"/>
  <c r="L40" i="14" s="1"/>
  <c r="L42" i="14" s="1"/>
  <c r="L44" i="14" s="1"/>
  <c r="G28" i="16"/>
  <c r="G27" i="16" s="1"/>
  <c r="G23" i="16"/>
  <c r="P27" i="14"/>
  <c r="O31" i="14"/>
  <c r="J60" i="9"/>
  <c r="H183" i="14" s="1"/>
  <c r="J62" i="9" l="1"/>
  <c r="J64" i="9"/>
  <c r="H187" i="14" s="1"/>
  <c r="H185" i="14"/>
  <c r="N28" i="14"/>
  <c r="M29" i="14"/>
  <c r="M33" i="14" s="1"/>
  <c r="M35" i="14" s="1"/>
  <c r="M38" i="14" s="1"/>
  <c r="M40" i="14" s="1"/>
  <c r="M42" i="14" s="1"/>
  <c r="M44" i="14" s="1"/>
  <c r="Q27" i="14"/>
  <c r="P31" i="14"/>
  <c r="E23" i="12"/>
  <c r="O28" i="14" l="1"/>
  <c r="N29" i="14"/>
  <c r="N33" i="14" s="1"/>
  <c r="N35" i="14" s="1"/>
  <c r="N38" i="14" s="1"/>
  <c r="N40" i="14" s="1"/>
  <c r="N42" i="14" s="1"/>
  <c r="N44" i="14" s="1"/>
  <c r="R27" i="14"/>
  <c r="Q31" i="14"/>
  <c r="P28" i="14" l="1"/>
  <c r="O29" i="14"/>
  <c r="O33" i="14" s="1"/>
  <c r="O35" i="14" s="1"/>
  <c r="O38" i="14" s="1"/>
  <c r="O40" i="14" s="1"/>
  <c r="O42" i="14" s="1"/>
  <c r="O44" i="14" s="1"/>
  <c r="R31" i="14"/>
  <c r="Q28" i="14" l="1"/>
  <c r="P29" i="14"/>
  <c r="P33" i="14" s="1"/>
  <c r="P35" i="14" s="1"/>
  <c r="P38" i="14" s="1"/>
  <c r="P40" i="14" s="1"/>
  <c r="P42" i="14" s="1"/>
  <c r="P44" i="14" s="1"/>
  <c r="R28" i="14" l="1"/>
  <c r="R29" i="14" s="1"/>
  <c r="R33" i="14" s="1"/>
  <c r="R35" i="14" s="1"/>
  <c r="R38" i="14" s="1"/>
  <c r="R40" i="14" s="1"/>
  <c r="R42" i="14" s="1"/>
  <c r="R44" i="14" s="1"/>
  <c r="Q29" i="14"/>
  <c r="Q33" i="14" s="1"/>
  <c r="Q35" i="14" s="1"/>
  <c r="Q38" i="14" s="1"/>
  <c r="Q40" i="14" s="1"/>
  <c r="Q42" i="14" s="1"/>
  <c r="Q44" i="14" s="1"/>
</calcChain>
</file>

<file path=xl/sharedStrings.xml><?xml version="1.0" encoding="utf-8"?>
<sst xmlns="http://schemas.openxmlformats.org/spreadsheetml/2006/main" count="762" uniqueCount="520">
  <si>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</si>
  <si>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</si>
  <si>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</si>
  <si>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</si>
  <si>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</si>
  <si>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</si>
  <si>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</si>
  <si>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</si>
  <si>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</si>
  <si>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</si>
  <si>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</si>
  <si>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</si>
  <si>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</si>
  <si>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</si>
  <si>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</si>
  <si>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</si>
  <si>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</si>
  <si>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</si>
  <si>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</si>
  <si>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</si>
  <si>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</si>
  <si>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</si>
  <si>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</si>
  <si>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</si>
  <si>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</si>
  <si>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</si>
  <si>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</si>
  <si>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</si>
  <si>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</si>
  <si>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</si>
  <si>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</si>
  <si>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</si>
  <si>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</si>
  <si>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</si>
  <si>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</si>
  <si>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</si>
  <si>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</si>
  <si>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</si>
  <si>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</si>
  <si>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</si>
  <si>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</si>
  <si>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</si>
  <si>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</si>
  <si>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</si>
  <si>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</si>
  <si>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</si>
  <si>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</si>
  <si>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</si>
  <si>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</si>
  <si>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</si>
  <si>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</si>
  <si>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</si>
  <si>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</si>
  <si>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</si>
  <si>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</si>
  <si>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</si>
  <si>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</si>
  <si>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</si>
  <si>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</si>
  <si>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</si>
  <si>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</si>
  <si>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</si>
  <si>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</si>
  <si>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BHARAT ELECTRONICS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</si>
  <si>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</si>
  <si>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</si>
  <si>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</si>
  <si>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</si>
  <si>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</si>
  <si>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</si>
  <si>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</si>
  <si>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</si>
  <si>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</si>
  <si>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</si>
  <si>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</si>
  <si>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</si>
  <si>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</si>
  <si>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</si>
  <si>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</si>
  <si>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</si>
  <si>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</si>
  <si>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</si>
  <si>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</si>
  <si>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</si>
  <si>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</si>
  <si>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</si>
  <si>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</si>
  <si>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</si>
  <si>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</si>
  <si>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</si>
  <si>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</si>
  <si>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</si>
  <si>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</si>
  <si>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Bharat Electronics Ltd</t>
  </si>
  <si>
    <t>#</t>
  </si>
  <si>
    <t>INCOME STATEMENT</t>
  </si>
  <si>
    <t>Revenue from Operations</t>
  </si>
  <si>
    <t>Total Income ( I + II )</t>
  </si>
  <si>
    <t>EXPENSES</t>
  </si>
  <si>
    <t>Cost of Materials Consumed</t>
  </si>
  <si>
    <t>Purchases of Stock - in - Trade</t>
  </si>
  <si>
    <t>Changes in Inventories of Finished Goods ,
Stock - in - Trade , Work - in - Progress and Scrap</t>
  </si>
  <si>
    <t>Employee Benefits Expense</t>
  </si>
  <si>
    <t>Finance Costs</t>
  </si>
  <si>
    <t>Depreciation and Amortization Expense</t>
  </si>
  <si>
    <t>Total Gross Expenses</t>
  </si>
  <si>
    <t>Less : Expenses relating to Capital and Other Accounts</t>
  </si>
  <si>
    <t>Total expenses ( IV )</t>
  </si>
  <si>
    <t>Tax expense :</t>
  </si>
  <si>
    <t>( 1 ) Current Tax</t>
  </si>
  <si>
    <t>( 2 ) Earlier Year Tax Refund / Liability</t>
  </si>
  <si>
    <t>( 3 ) Deferred Tax</t>
  </si>
  <si>
    <t>Total tax exp</t>
  </si>
  <si>
    <t>Profit ( Loss ) for the period from Continuing Operations ( IX - X )</t>
  </si>
  <si>
    <t>Profit / ( loss ) from Discontinued Operations</t>
  </si>
  <si>
    <t>Tax expense of Discontinued Operations</t>
  </si>
  <si>
    <t>Profit / ( loss ) from Discontinued Operations ( after tax ) ( XII - XIII )</t>
  </si>
  <si>
    <t>Profit / ( loss ) for the period ( XI + XIV )</t>
  </si>
  <si>
    <t xml:space="preserve">Profit / ( loss ) before tax </t>
  </si>
  <si>
    <t>KPIs</t>
  </si>
  <si>
    <t>Revenue % (y-o-y)</t>
  </si>
  <si>
    <t>GP%</t>
  </si>
  <si>
    <t>EBITDA%</t>
  </si>
  <si>
    <t>EBIT %</t>
  </si>
  <si>
    <t>NP %</t>
  </si>
  <si>
    <t>Asset Turnover</t>
  </si>
  <si>
    <t>ASSETS</t>
  </si>
  <si>
    <t>Non - current assets</t>
  </si>
  <si>
    <t>( a ) Property , Plant and Equipment</t>
  </si>
  <si>
    <t>( b ) Capital work - in - progress</t>
  </si>
  <si>
    <t>( c ) Investment Property</t>
  </si>
  <si>
    <t>( d ) Goodwill</t>
  </si>
  <si>
    <t>( e ) Other Intangible assets</t>
  </si>
  <si>
    <t>( f ) Intangible Assets under Development</t>
  </si>
  <si>
    <t>( g ) Investments accounted for using the Equity Method</t>
  </si>
  <si>
    <t>( h ) Financial Assets</t>
  </si>
  <si>
    <t>( i ) Investments</t>
  </si>
  <si>
    <t>( ii ) Trade Receivables</t>
  </si>
  <si>
    <t>( iii ) Contract Assets</t>
  </si>
  <si>
    <t>( iv ) Loans</t>
  </si>
  <si>
    <t>( v ) Other Financial Assets</t>
  </si>
  <si>
    <t>( i ) Deferred tax Assets ( Net )</t>
  </si>
  <si>
    <t>Total non - current assets</t>
  </si>
  <si>
    <t>Current assets</t>
  </si>
  <si>
    <t>( a ) Inventories</t>
  </si>
  <si>
    <t>( b ) Financial Assets</t>
  </si>
  <si>
    <t>( ii ) Trade receivables</t>
  </si>
  <si>
    <t>( iv ) Cash and Cash Equivalents</t>
  </si>
  <si>
    <t>Bank Balances other than Cash and Cash Equivalents</t>
  </si>
  <si>
    <t>( vi ) Loans</t>
  </si>
  <si>
    <t>( vii ) Other Financial Assets</t>
  </si>
  <si>
    <t>( c ) Current Tax Assets ( Net )</t>
  </si>
  <si>
    <t>( d ) Other Currents Assets</t>
  </si>
  <si>
    <t>Total current assets</t>
  </si>
  <si>
    <t>Assets held for Sale</t>
  </si>
  <si>
    <t>Total Assets</t>
  </si>
  <si>
    <t>EQUITY AND LIABILITIES</t>
  </si>
  <si>
    <t>Equity</t>
  </si>
  <si>
    <t>( a ) Equity Share capital</t>
  </si>
  <si>
    <t>( b ) Other Equity</t>
  </si>
  <si>
    <t>Equity attributable to owners of the parent</t>
  </si>
  <si>
    <t>Non - controlling interest</t>
  </si>
  <si>
    <t>Total equity</t>
  </si>
  <si>
    <t>LIABILITIES</t>
  </si>
  <si>
    <t>Non - current liabilities</t>
  </si>
  <si>
    <t>( a ) Financial Liabilities</t>
  </si>
  <si>
    <t>( i ) Borrowings</t>
  </si>
  <si>
    <t>( ia ) Lease Liabilities</t>
  </si>
  <si>
    <t>( ii ) Trade payables</t>
  </si>
  <si>
    <t>A ) total outstanding dues of micro enterprises and small enterprises</t>
  </si>
  <si>
    <t>B ) total outstanding dues of creditors other than micro enterprises and small enterprises</t>
  </si>
  <si>
    <t>Sub Total - Trade payables</t>
  </si>
  <si>
    <t>( iii ) Other Financial Liabilities</t>
  </si>
  <si>
    <t>( b ) Provisions</t>
  </si>
  <si>
    <t>( c ) Deferred Tax Liabilities ( Net )</t>
  </si>
  <si>
    <t>( d ) Other Non - Current Liabilities</t>
  </si>
  <si>
    <t>Total non - current liabilities</t>
  </si>
  <si>
    <t>Current Liabilities</t>
  </si>
  <si>
    <t>( a ) Financial liabilities</t>
  </si>
  <si>
    <t>( iii ) Other Financial liabilities</t>
  </si>
  <si>
    <t>( b ) Other Current Liabilities</t>
  </si>
  <si>
    <t>( c ) Provisions</t>
  </si>
  <si>
    <t>( d ) Current tax liabilities ( Net )</t>
  </si>
  <si>
    <t>Total current liabilities</t>
  </si>
  <si>
    <t>Total Equity and Liabilities</t>
  </si>
  <si>
    <t>Liquidity ratios</t>
  </si>
  <si>
    <t>Quick ratio</t>
  </si>
  <si>
    <t>Current ratio</t>
  </si>
  <si>
    <t>v</t>
  </si>
  <si>
    <t>( j ) Inventories</t>
  </si>
  <si>
    <t>( k ) Other Non - Current Assets</t>
  </si>
  <si>
    <t>( e ) Deferred Income</t>
  </si>
  <si>
    <t>CASH FLOW STATEMENT</t>
  </si>
  <si>
    <t>Operating Profit Before Working Capital Changes</t>
  </si>
  <si>
    <t>Adjustments for :</t>
  </si>
  <si>
    <t>Net Cash ( used in ) / generated from Operating Activities ( A )</t>
  </si>
  <si>
    <t>Cash flow from Financing Activities</t>
  </si>
  <si>
    <t>Net increase / ( decrease ) in Cash and Cash Equivalents ( A + B + C )</t>
  </si>
  <si>
    <t xml:space="preserve">Add : Cash and Cash Equivalents at the beginning of the year </t>
  </si>
  <si>
    <t xml:space="preserve">Cash and Cash Equivalents at the end of the year </t>
  </si>
  <si>
    <t>Net Cash ( used in ) / generated from Financing Activities ( C )</t>
  </si>
  <si>
    <t>Depreciation and amortisation expense</t>
  </si>
  <si>
    <t>Provision for intangible assets under development</t>
  </si>
  <si>
    <t>Intangible assets under development charged off</t>
  </si>
  <si>
    <t>Transfer from government grants</t>
  </si>
  <si>
    <t>Interest income</t>
  </si>
  <si>
    <t>Interest on lease liability</t>
  </si>
  <si>
    <t>Finance costs</t>
  </si>
  <si>
    <t>Profit on sale of property, plant &amp; equipment</t>
  </si>
  <si>
    <t>Provision for performance warranty (net)</t>
  </si>
  <si>
    <t>Provision for onerous contract (net)</t>
  </si>
  <si>
    <t>Provision Others – Contract costs</t>
  </si>
  <si>
    <t>Capital WIP charged off</t>
  </si>
  <si>
    <t>Profit after share of associate (before exceptional items &amp; tax)</t>
  </si>
  <si>
    <t>Adjustments for:</t>
  </si>
  <si>
    <t>Prov. for doubtful debts, liq. damages &amp; disallowances (net)</t>
  </si>
  <si>
    <t>Provision for doubtful advances, claims (net of withdrawal)</t>
  </si>
  <si>
    <t>Provision for obsolete/redundant materials (net)</t>
  </si>
  <si>
    <t>Corporate social responsibility</t>
  </si>
  <si>
    <t>Trade receivables</t>
  </si>
  <si>
    <t>Loans</t>
  </si>
  <si>
    <t>Other financial assets</t>
  </si>
  <si>
    <t>Other assets</t>
  </si>
  <si>
    <t>Inventories</t>
  </si>
  <si>
    <t>Trade payables</t>
  </si>
  <si>
    <t>Other financial liabilities</t>
  </si>
  <si>
    <t>Provisions</t>
  </si>
  <si>
    <t>Other liabilities</t>
  </si>
  <si>
    <t>Current tax assets</t>
  </si>
  <si>
    <t>Increase / (Decrease) due to</t>
  </si>
  <si>
    <t>Cash Generated from Operations</t>
  </si>
  <si>
    <t>Income taxes paid (net)</t>
  </si>
  <si>
    <t>Cash Flow Before Exceptional Items</t>
  </si>
  <si>
    <t>Exceptional items</t>
  </si>
  <si>
    <t>Purchase of PPE and other intangible assets</t>
  </si>
  <si>
    <t>Receipt / Less: Receipt of grant</t>
  </si>
  <si>
    <t>Proceeds from sale of PPE</t>
  </si>
  <si>
    <t>Increase/(Decrease) in term deposits &amp; other bank balances</t>
  </si>
  <si>
    <t>Other investments</t>
  </si>
  <si>
    <t>Interest received</t>
  </si>
  <si>
    <t>Net Cash from / (used in) Investing Activities (B)</t>
  </si>
  <si>
    <t>Proceeds/Repayment from borrowings (net)</t>
  </si>
  <si>
    <t>Corporate Social Responsibility (CSR) expenditure</t>
  </si>
  <si>
    <t>Dividend paid (including tax on dividend)</t>
  </si>
  <si>
    <t>Repayment of lease liabilities</t>
  </si>
  <si>
    <t>Cash flow from Investing Activities</t>
  </si>
  <si>
    <t>Cash flow from Operating Activities</t>
  </si>
  <si>
    <t>Date</t>
  </si>
  <si>
    <t>Regression beta</t>
  </si>
  <si>
    <t>Index</t>
  </si>
  <si>
    <t>% Change</t>
  </si>
  <si>
    <t>Stock</t>
  </si>
  <si>
    <t>Close Price</t>
  </si>
  <si>
    <t>Monthly</t>
  </si>
  <si>
    <t>Historical Financial Information</t>
  </si>
  <si>
    <t>Equity Market Return</t>
  </si>
  <si>
    <t>Yearfrac</t>
  </si>
  <si>
    <t>Market Return</t>
  </si>
  <si>
    <t>Comps Valuation</t>
  </si>
  <si>
    <t>Market Data</t>
  </si>
  <si>
    <t>Financial Data</t>
  </si>
  <si>
    <t>Valuation</t>
  </si>
  <si>
    <t>Shares</t>
  </si>
  <si>
    <t>Market Cap</t>
  </si>
  <si>
    <t>Debt</t>
  </si>
  <si>
    <t>Cash</t>
  </si>
  <si>
    <t>EV</t>
  </si>
  <si>
    <t>EBITDA</t>
  </si>
  <si>
    <t>Earnings</t>
  </si>
  <si>
    <t>EV/Sales</t>
  </si>
  <si>
    <t>EV/EBITDA</t>
  </si>
  <si>
    <t>P/E</t>
  </si>
  <si>
    <t>Company Name</t>
  </si>
  <si>
    <t>Ticker</t>
  </si>
  <si>
    <r>
      <rPr>
        <i/>
        <sz val="12"/>
        <color theme="0"/>
        <rFont val="Book Antiqua"/>
        <family val="1"/>
      </rPr>
      <t>(</t>
    </r>
    <r>
      <rPr>
        <sz val="12"/>
        <color theme="0"/>
        <rFont val="Calibri"/>
        <family val="2"/>
      </rPr>
      <t>₹</t>
    </r>
    <r>
      <rPr>
        <i/>
        <sz val="10.8"/>
        <color theme="0"/>
        <rFont val="Book Antiqua"/>
        <family val="1"/>
      </rPr>
      <t>/share)</t>
    </r>
  </si>
  <si>
    <t>number</t>
  </si>
  <si>
    <t>₹ MM</t>
  </si>
  <si>
    <t>&amp; Equivalents</t>
  </si>
  <si>
    <t>x</t>
  </si>
  <si>
    <t>Hindustan Aeronautics</t>
  </si>
  <si>
    <t>HAL</t>
  </si>
  <si>
    <t>Bharat Dynamics</t>
  </si>
  <si>
    <t>BDL</t>
  </si>
  <si>
    <t>Garden Reach Shipbuilders</t>
  </si>
  <si>
    <t>GRSE</t>
  </si>
  <si>
    <t>Data Patterns</t>
  </si>
  <si>
    <t>DATAPATT</t>
  </si>
  <si>
    <t>Zen Technologies</t>
  </si>
  <si>
    <t>ZENTEC</t>
  </si>
  <si>
    <t>MTAR Technologies</t>
  </si>
  <si>
    <t>MTAR</t>
  </si>
  <si>
    <t>Average</t>
  </si>
  <si>
    <t>Median</t>
  </si>
  <si>
    <t>Bharat Electronics</t>
  </si>
  <si>
    <t>BEL</t>
  </si>
  <si>
    <t>Metric</t>
  </si>
  <si>
    <t>Comps</t>
  </si>
  <si>
    <t>Net Debt</t>
  </si>
  <si>
    <t>Equity Value</t>
  </si>
  <si>
    <t>Share Price</t>
  </si>
  <si>
    <t>Recommendation</t>
  </si>
  <si>
    <t>EV/Revenue</t>
  </si>
  <si>
    <t>BUY</t>
  </si>
  <si>
    <t>Weighted-Average Cost of Capital (WACC)</t>
  </si>
  <si>
    <t>All Amounts Denominated in INR MM Unless Otherwise Stated</t>
  </si>
  <si>
    <t>Comparable Companies Beta</t>
  </si>
  <si>
    <t xml:space="preserve">Total </t>
  </si>
  <si>
    <t>Debt/</t>
  </si>
  <si>
    <t>Levered</t>
  </si>
  <si>
    <t>Unlevered</t>
  </si>
  <si>
    <t>Value</t>
  </si>
  <si>
    <t>Capital</t>
  </si>
  <si>
    <t>Rate %</t>
  </si>
  <si>
    <t>Beta</t>
  </si>
  <si>
    <t xml:space="preserve">Hindustan Aeronautics Limited </t>
  </si>
  <si>
    <t>WACC Calculation</t>
  </si>
  <si>
    <t>Target Capital Structure</t>
  </si>
  <si>
    <t>Proportion of Debt</t>
  </si>
  <si>
    <t>Proportion of Equity</t>
  </si>
  <si>
    <t>Current Capital Structure</t>
  </si>
  <si>
    <t>Total Debt</t>
  </si>
  <si>
    <t>Debt / Equity</t>
  </si>
  <si>
    <t>Tax Rate</t>
  </si>
  <si>
    <t>Risk Free Rate</t>
  </si>
  <si>
    <t>Financial Statements &amp; DCF Analysis</t>
  </si>
  <si>
    <t>HISTORICAL PERIOD</t>
  </si>
  <si>
    <t>FORECASTED PERIOD</t>
  </si>
  <si>
    <t>Master Check</t>
  </si>
  <si>
    <t>Ratios &amp; Assumptions</t>
  </si>
  <si>
    <t>LIVE SCENARIO</t>
  </si>
  <si>
    <t xml:space="preserve">Revenue Growth </t>
  </si>
  <si>
    <t>Cost of Goods Sold (% of Revenue)</t>
  </si>
  <si>
    <t>Salaries and benefits (% of Revenue)</t>
  </si>
  <si>
    <t>Other operating Expenses (% of Revenue)</t>
  </si>
  <si>
    <t>Depreciation &amp; Amortization Expenses (% of PP&amp;E)</t>
  </si>
  <si>
    <t>Interest (% of revenue)</t>
  </si>
  <si>
    <t>Other Income (Expenses) (% of Revenue)</t>
  </si>
  <si>
    <t>Tax Rate (% of Earnings before Tax)</t>
  </si>
  <si>
    <t>Accounts Payable</t>
  </si>
  <si>
    <t>Capital Asset Turnover Ratio</t>
  </si>
  <si>
    <t>Retained earnings</t>
  </si>
  <si>
    <t>Income Statement</t>
  </si>
  <si>
    <t>INCOME</t>
  </si>
  <si>
    <t>Revenue</t>
  </si>
  <si>
    <t>Cost of Good Sold (COGS)</t>
  </si>
  <si>
    <t>Gross Profit</t>
  </si>
  <si>
    <t>Salaries and benefits</t>
  </si>
  <si>
    <t>Other operating Expenses</t>
  </si>
  <si>
    <t>Depreciation &amp; Amortization Expenses</t>
  </si>
  <si>
    <t>EBIT</t>
  </si>
  <si>
    <t>Other Income (Expenses)</t>
  </si>
  <si>
    <t>Earnings before Tax</t>
  </si>
  <si>
    <t>Taxes</t>
  </si>
  <si>
    <t>Net income without jv</t>
  </si>
  <si>
    <t>Net profit from jv</t>
  </si>
  <si>
    <t>Net income from continuing operations</t>
  </si>
  <si>
    <t>Net income from discontinuing operations</t>
  </si>
  <si>
    <t>Total net earnings</t>
  </si>
  <si>
    <t>dividend</t>
  </si>
  <si>
    <r>
      <rPr>
        <sz val="11"/>
        <color theme="1"/>
        <rFont val="Calibri"/>
        <family val="2"/>
      </rPr>
      <t>₹</t>
    </r>
    <r>
      <rPr>
        <sz val="11"/>
        <color theme="1"/>
        <rFont val="Book Antiqua"/>
        <family val="1"/>
      </rPr>
      <t xml:space="preserve"> MM</t>
    </r>
  </si>
  <si>
    <t>Particulars</t>
  </si>
  <si>
    <t>Balance Sheet</t>
  </si>
  <si>
    <t>Cash Flow Statement</t>
  </si>
  <si>
    <t>%</t>
  </si>
  <si>
    <t>Days</t>
  </si>
  <si>
    <t>Times</t>
  </si>
  <si>
    <t>FY2026</t>
  </si>
  <si>
    <t>FY2027</t>
  </si>
  <si>
    <t>FY2028</t>
  </si>
  <si>
    <t>FY2029</t>
  </si>
  <si>
    <t>FY2030</t>
  </si>
  <si>
    <t>FY2031</t>
  </si>
  <si>
    <t>FY2032</t>
  </si>
  <si>
    <t>FY2033</t>
  </si>
  <si>
    <t>FY2034</t>
  </si>
  <si>
    <t>FY2035</t>
  </si>
  <si>
    <t>Base Case</t>
  </si>
  <si>
    <t>Bull Case</t>
  </si>
  <si>
    <t>Bear Case</t>
  </si>
  <si>
    <t>ISIN Code</t>
  </si>
  <si>
    <t>INE263A01024</t>
  </si>
  <si>
    <t>Sector Name</t>
  </si>
  <si>
    <t>AEROSPACE &amp; DEFENCE</t>
  </si>
  <si>
    <t>Industry</t>
  </si>
  <si>
    <t>ELECTRONICS &amp; DEFENCE</t>
  </si>
  <si>
    <t>Exchange Name</t>
  </si>
  <si>
    <t>BSE: 532959, NSE: BEL</t>
  </si>
  <si>
    <t>Website</t>
  </si>
  <si>
    <t>https://bel-india.in</t>
  </si>
  <si>
    <t>Company Description</t>
  </si>
  <si>
    <t>Bharat Electronics Ltd (BEL) is a government-owned aerospace and defence electronics company under the Ministry of Defence, Government of India. The company designs, develops, manufactures, and supplies advanced electronic systems and equipment for defence and civilian applications. Its product portfolio includes radar systems, sonar systems, electronic warfare systems, communication systems, weapon systems, avionics, night vision devices, electro-optics, and homeland security solutions. BEL also provides software-defined radios, satellite communication systems, electronic voting machines, and smart city solutions. It primarily serves the Indian Army, Indian Navy, Indian Air Force, Indian Coast Guard, DRDO, ISRO, and Paramilitary forces, along with select export markets. BEL is headquartered in Bengaluru, Karnataka, India.</t>
  </si>
  <si>
    <t>Price (INR)</t>
  </si>
  <si>
    <t>Assumption Type</t>
  </si>
  <si>
    <t>Case No.</t>
  </si>
  <si>
    <t>Assumptions</t>
  </si>
  <si>
    <t>Transaction Date</t>
  </si>
  <si>
    <t>Fiscal Year End</t>
  </si>
  <si>
    <t>EV/EBITDA Multiple</t>
  </si>
  <si>
    <t>Perpetual Growth Rate</t>
  </si>
  <si>
    <t>Discount Rate</t>
  </si>
  <si>
    <t>Shares Outstanding</t>
  </si>
  <si>
    <t>Sheet Name</t>
  </si>
  <si>
    <t>Row/Cell Referencing</t>
  </si>
  <si>
    <t>Comments</t>
  </si>
  <si>
    <t>Case Selection Cell</t>
  </si>
  <si>
    <t>User selection dropdown provided with three scenarios — Base, Bull, Bear. Model assumptions and projections will dynamically update based on selected case.</t>
  </si>
  <si>
    <t>Revenue Growth Input Cells</t>
  </si>
  <si>
    <t>User input cells provided for revenue growth rates per year. Historical 5-year revenue CAGR of ~13.8% (FY2021–FY2025) has been used as the base driver for forecasting future revenues.</t>
  </si>
  <si>
    <t>Risk Free Rate Cell</t>
  </si>
  <si>
    <t>10-year India Government benchmark bond yield linked across the model wherever required for WACC and DCF calculations.</t>
  </si>
  <si>
    <t>General</t>
  </si>
  <si>
    <t>Past 5 years revenue growth trend (FY2021–FY2025) used as primary driver to forecast revenue. Other income forecasted using 5-year historical average as a percentage of revenue.</t>
  </si>
  <si>
    <t>A mild tapering rate of 6% has been assumed considering stable defence budget allocations, strong order book visibility, and Government of India's Atmanirbhar Bharat push for domestic defence production.</t>
  </si>
  <si>
    <t>Forecasts &amp; Supporting Schedules</t>
  </si>
  <si>
    <t>Receivable / Payable / Inventory Days</t>
  </si>
  <si>
    <t>Past 4-year average trend used to forecast working capital days. FY2021 has been excluded from the average due to COVID-19 distortion in receivable and inventory days relative to the normal operating cycle.</t>
  </si>
  <si>
    <t>Cost Drivers</t>
  </si>
  <si>
    <t>Historical 5-year average growth rates used to forecast future costs. For COGS and salaries, past 3-year trend preferred to reduce pandemic-period distortion in FY2021–FY2022.</t>
  </si>
  <si>
    <t>Depreciation &amp; Interest</t>
  </si>
  <si>
    <t>Depreciation taken as % of opening gross PP&amp;E. Interest taken as % of revenue. Depreciation rate assumed to increase by ~1% every 2 years reflecting BEL's ongoing capacity expansion across its nine manufacturing units.</t>
  </si>
  <si>
    <t>Capex</t>
  </si>
  <si>
    <t>BEL's historical capex growth ranges from 15–25% YoY driven by modernisation of manufacturing facilities and new product development. Capex assumed to grow at minimum 8% per year on a conservative basis, consistent with India's defence indigenisation roadmap and BEL's expanding order book.</t>
  </si>
  <si>
    <t>FY2021 excluded from average payout ratio calculation due to COVID-19-related atypical dividend behaviour. BEL has maintained a consistent payout ratio of ~34–36% in FY2022–FY2025, which has been used as the forecast base.</t>
  </si>
  <si>
    <t>Effective tax rate assumed to remain stable at ~25.2% with a marginal increase of 0.5% every two years in line with potential changes in corporate tax policy.</t>
  </si>
  <si>
    <t>Ratio Analysis</t>
  </si>
  <si>
    <t>Ratio interpretations designed for presentation clarity. Key ratios include ROCE, ROE, Asset Turnover, Current Ratio, Debt-to-Equity, and Order Book-to-Revenue coverage ratio, with expandable commentary for each.</t>
  </si>
  <si>
    <t>Historical</t>
  </si>
  <si>
    <t>Ratio analysis</t>
  </si>
  <si>
    <t> Operational Ratios</t>
  </si>
  <si>
    <t> Quick Ratio</t>
  </si>
  <si>
    <t> Current Ratio</t>
  </si>
  <si>
    <t> Interest Coverage Ratio</t>
  </si>
  <si>
    <t> Fixed Asset Turnover</t>
  </si>
  <si>
    <t> Cash Conversion Cycle</t>
  </si>
  <si>
    <t> Debt to Equity Ratio</t>
  </si>
  <si>
    <t> Profitability Ratios</t>
  </si>
  <si>
    <t xml:space="preserve"> Gross Margin (%)</t>
  </si>
  <si>
    <t> Op Profit Margin (%)</t>
  </si>
  <si>
    <t> Net Profit Margin (%)</t>
  </si>
  <si>
    <t> ROCE (%)</t>
  </si>
  <si>
    <t xml:space="preserve"> Dupont Analysis</t>
  </si>
  <si>
    <t> Return on Assets (%)</t>
  </si>
  <si>
    <t xml:space="preserve"> Net Profit Margin (%)</t>
  </si>
  <si>
    <t xml:space="preserve"> Asset Turnover ratio</t>
  </si>
  <si>
    <t> ROE (%)</t>
  </si>
  <si>
    <t xml:space="preserve"> Equity Multiplier</t>
  </si>
  <si>
    <t> Valuation Ratios</t>
  </si>
  <si>
    <t xml:space="preserve"> P/E</t>
  </si>
  <si>
    <t xml:space="preserve"> Price to Book</t>
  </si>
  <si>
    <t xml:space="preserve"> EV/EBITDA</t>
  </si>
  <si>
    <t>14.52x</t>
  </si>
  <si>
    <t>21.42x</t>
  </si>
  <si>
    <t>23.89x</t>
  </si>
  <si>
    <t>36.96x</t>
  </si>
  <si>
    <t>41.37x</t>
  </si>
  <si>
    <t>2.75x</t>
  </si>
  <si>
    <t>4.18x</t>
  </si>
  <si>
    <t>5.14x</t>
  </si>
  <si>
    <t>9.01x</t>
  </si>
  <si>
    <t>11.01x</t>
  </si>
  <si>
    <t>9.27x</t>
  </si>
  <si>
    <t>15.46x</t>
  </si>
  <si>
    <t>17.45x</t>
  </si>
  <si>
    <t>27.20x</t>
  </si>
  <si>
    <t>31.13x</t>
  </si>
  <si>
    <t>Balance sheet</t>
  </si>
  <si>
    <t>Football Field Data</t>
  </si>
  <si>
    <t>DCF</t>
  </si>
  <si>
    <t>52-week hi/lo</t>
  </si>
  <si>
    <t>market consensus</t>
  </si>
  <si>
    <t>High</t>
  </si>
  <si>
    <t>Low</t>
  </si>
  <si>
    <t>Valuation Summary</t>
  </si>
  <si>
    <t>DCF Model</t>
  </si>
  <si>
    <t>Enterprise Value</t>
  </si>
  <si>
    <t xml:space="preserve">          Bharat Electronics Ltd</t>
  </si>
  <si>
    <t xml:space="preserve">           Bharat Electronics Ltd</t>
  </si>
  <si>
    <t xml:space="preserve">     Bharat Electronics Ltd</t>
  </si>
  <si>
    <t xml:space="preserve">         Bharat Electronics Ltd</t>
  </si>
  <si>
    <t>Cost of Debt</t>
  </si>
  <si>
    <t>Pre-Tax Cost of Debt</t>
  </si>
  <si>
    <t>After-Tax Cost of Debt</t>
  </si>
  <si>
    <t>Cost of Equity (CAPM)</t>
  </si>
  <si>
    <t>Equity Risk Premium</t>
  </si>
  <si>
    <t>Unlevered Beta (median comps)</t>
  </si>
  <si>
    <t>Levered Beta (re-levered)</t>
  </si>
  <si>
    <t>Cost of Equity</t>
  </si>
  <si>
    <t>WACC</t>
  </si>
  <si>
    <t>Weighted Average Cost of Capital</t>
  </si>
  <si>
    <t>40.43x</t>
  </si>
  <si>
    <t>Discount Rate (WACC)</t>
  </si>
  <si>
    <t>73,098 lakhs</t>
  </si>
  <si>
    <t>Method</t>
  </si>
  <si>
    <t>Value (₹ MM)</t>
  </si>
  <si>
    <t>EV/EBITDA Method</t>
  </si>
  <si>
    <t>Perpetual Growth Method</t>
  </si>
  <si>
    <t>Average Terminal Value</t>
  </si>
  <si>
    <t>Amount (₹ MM)</t>
  </si>
  <si>
    <t>PV of FCFFs</t>
  </si>
  <si>
    <t>PV of Terminal Value</t>
  </si>
  <si>
    <t>+ Cash &amp; Equivalents</t>
  </si>
  <si>
    <t>- Debt</t>
  </si>
  <si>
    <t>- Non-Controlling Interest</t>
  </si>
  <si>
    <t>Equity Value per Share</t>
  </si>
  <si>
    <t>Upside</t>
  </si>
  <si>
    <t>+2.8% (BUY)</t>
  </si>
  <si>
    <t>Year</t>
  </si>
  <si>
    <t>Cash Taxes</t>
  </si>
  <si>
    <t>NOPAT</t>
  </si>
  <si>
    <t>D&amp;A</t>
  </si>
  <si>
    <t>Change in NWC</t>
  </si>
  <si>
    <t>FCFF</t>
  </si>
  <si>
    <t>28.0x</t>
  </si>
  <si>
    <t>30.0x</t>
  </si>
  <si>
    <t>40.4x</t>
  </si>
  <si>
    <t>34.0x</t>
  </si>
  <si>
    <t>36.0x</t>
  </si>
  <si>
    <t>Exit Multiple</t>
  </si>
  <si>
    <t>Sensitivties - Intrinsic Value (Rs./Share)</t>
  </si>
  <si>
    <t>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</si>
</sst>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 #,##0.00_ ;_ * \-#,##0.00_ ;_ * &quot;-&quot;??_ ;_ @_ "/>
    <numFmt numFmtId="164" formatCode="_(* #,##0.00_);_(* \(#,##0.00\);_(* &quot;-&quot;??_);_(@_)"/>
    <numFmt numFmtId="165" formatCode="[$-409]mmm\-yy;@"/>
    <numFmt numFmtId="166" formatCode="yyyy"/>
    <numFmt numFmtId="167" formatCode="\ yyyy"/>
    <numFmt numFmtId="168" formatCode="_ * #,##0_ ;_ * \-#,##0_ ;_ * &quot;-&quot;??_ ;_ @_ "/>
    <numFmt numFmtId="169" formatCode="#,##0;\(#,##0\)"/>
    <numFmt numFmtId="170" formatCode="0.0%"/>
    <numFmt numFmtId="171" formatCode="#,##0.0"/>
    <numFmt numFmtId="172" formatCode="0.0"/>
    <numFmt numFmtId="173" formatCode="0.0&quot;x&quot;"/>
    <numFmt numFmtId="174" formatCode="0.0\x"/>
    <numFmt numFmtId="175" formatCode="#&quot;A&quot;"/>
    <numFmt numFmtId="176" formatCode="#&quot;E&quot;"/>
    <numFmt numFmtId="177" formatCode="yyyy&quot;A&quot;"/>
    <numFmt numFmtId="178" formatCode="yyyy&quot;E&quot;"/>
    <numFmt numFmtId="179" formatCode="mmm\-yy"/>
    <numFmt numFmtId="180" formatCode=";;;"/>
  </numFmts>
  <fonts count="68" x14ac:knownFonts="1">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sz val="48"/>
      <color theme="0"/>
      <name val="Book Antiqua"/>
      <family val="1"/>
    </font>
    <font>
      <b/>
      <sz val="14"/>
      <color theme="0"/>
      <name val="Book Antiqua"/>
      <family val="1"/>
    </font>
    <font>
      <b/>
      <sz val="12"/>
      <color theme="0"/>
      <name val="Book Antiqua"/>
      <family val="1"/>
    </font>
    <font>
      <sz val="12"/>
      <color theme="1"/>
      <name val="Book Antiqua"/>
      <family val="1"/>
    </font>
    <font>
      <b/>
      <sz val="12"/>
      <color theme="1"/>
      <name val="Book Antiqua"/>
      <family val="1"/>
    </font>
    <font>
      <sz val="11"/>
      <color theme="1"/>
      <name val="Book Antiqua"/>
      <family val="1"/>
    </font>
    <font>
      <b/>
      <sz val="11"/>
      <color theme="1"/>
      <name val="Book Antiqua"/>
      <family val="1"/>
    </font>
    <font>
      <b/>
      <sz val="12"/>
      <color theme="0"/>
      <name val="Cambria"/>
      <family val="1"/>
    </font>
    <font>
      <sz val="11"/>
      <color theme="0"/>
      <name val="Book Antiqua"/>
      <family val="1"/>
    </font>
    <font>
      <b/>
      <sz val="11"/>
      <color theme="0"/>
      <name val="Cambria"/>
      <family val="1"/>
    </font>
    <font>
      <sz val="12"/>
      <name val="Cambria"/>
      <family val="1"/>
    </font>
    <font>
      <b/>
      <sz val="11"/>
      <color theme="0"/>
      <name val="Book Antiqua"/>
      <family val="1"/>
    </font>
    <font>
      <sz val="11"/>
      <color theme="1"/>
      <name val="Calibri"/>
      <family val="2"/>
    </font>
    <font>
      <b/>
      <sz val="11"/>
      <color theme="0"/>
      <name val="Book Antiqua"/>
      <family val="1"/>
    </font>
    <font>
      <sz val="11"/>
      <color theme="0"/>
      <name val="Book Antiqua"/>
      <family val="1"/>
    </font>
    <font>
      <b/>
      <sz val="12"/>
      <color theme="1"/>
      <name val="Book Antiqua"/>
      <family val="1"/>
    </font>
    <font>
      <sz val="11"/>
      <name val="Book Antiqua"/>
      <family val="1"/>
    </font>
    <font>
      <sz val="11"/>
      <color theme="1"/>
      <name val="Book Antiqua"/>
      <family val="1"/>
    </font>
    <font>
      <sz val="12"/>
      <color theme="1"/>
      <name val="Book Antiqua"/>
      <family val="1"/>
    </font>
    <font>
      <b/>
      <sz val="11"/>
      <color theme="1"/>
      <name val="Book Antiqua"/>
      <family val="1"/>
    </font>
    <font>
      <b/>
      <sz val="12"/>
      <color theme="0"/>
      <name val="Book Antiqua"/>
      <family val="1"/>
    </font>
    <font>
      <b/>
      <sz val="12"/>
      <color theme="0"/>
      <name val="Cambria"/>
      <family val="1"/>
    </font>
    <font>
      <b/>
      <sz val="10"/>
      <color theme="0"/>
      <name val="Cambria"/>
      <family val="1"/>
    </font>
    <font>
      <b/>
      <sz val="11"/>
      <color theme="0"/>
      <name val="Cambria"/>
      <family val="1"/>
    </font>
    <font>
      <sz val="11"/>
      <color rgb="FF7030A0"/>
      <name val="Calibri"/>
      <family val="2"/>
      <scheme val="minor"/>
    </font>
    <font>
      <sz val="11"/>
      <color theme="1"/>
      <name val="Arial Narrow"/>
      <family val="2"/>
    </font>
    <font>
      <sz val="11"/>
      <color rgb="FF000099"/>
      <name val="Calibri"/>
      <family val="2"/>
      <scheme val="minor"/>
    </font>
    <font>
      <b/>
      <sz val="16"/>
      <color theme="0"/>
      <name val="Book Antiqua"/>
      <family val="1"/>
    </font>
    <font>
      <sz val="12"/>
      <color theme="0"/>
      <name val="Book Antiqua"/>
      <family val="1"/>
    </font>
    <font>
      <i/>
      <sz val="12"/>
      <color theme="0"/>
      <name val="Book Antiqua"/>
      <family val="1"/>
    </font>
    <font>
      <sz val="12"/>
      <color theme="0"/>
      <name val="Calibri"/>
      <family val="2"/>
    </font>
    <font>
      <i/>
      <sz val="10.8"/>
      <color theme="0"/>
      <name val="Book Antiqua"/>
      <family val="1"/>
    </font>
    <font>
      <sz val="10"/>
      <color theme="1"/>
      <name val="Arial"/>
      <family val="2"/>
    </font>
    <font>
      <sz val="10"/>
      <name val="Times New Roman"/>
      <family val="1"/>
    </font>
    <font>
      <b/>
      <sz val="12"/>
      <name val="Book Antiqua"/>
      <family val="1"/>
    </font>
    <font>
      <sz val="11"/>
      <color rgb="FF22222F"/>
      <name val="Arial"/>
      <family val="2"/>
    </font>
    <font>
      <sz val="11"/>
      <color rgb="FF002060"/>
      <name val="Book Antiqua"/>
      <family val="1"/>
    </font>
    <font>
      <b/>
      <sz val="11"/>
      <color rgb="FFFFFFFF"/>
      <name val="Book Antiqua"/>
      <family val="1"/>
    </font>
    <font>
      <sz val="10"/>
      <color rgb="FFFFFFFF"/>
      <name val="Book Antiqua"/>
      <family val="1"/>
    </font>
    <font>
      <b/>
      <sz val="12"/>
      <color theme="9" tint="-0.499984740745262"/>
      <name val="Book Antiqua"/>
      <family val="1"/>
    </font>
    <font>
      <sz val="11"/>
      <color theme="9" tint="-0.499984740745262"/>
      <name val="Book Antiqua"/>
      <family val="1"/>
    </font>
    <font>
      <b/>
      <sz val="11"/>
      <color theme="9" tint="-0.249977111117893"/>
      <name val="Book Antiqua"/>
      <family val="1"/>
    </font>
    <font>
      <sz val="11"/>
      <color theme="9" tint="-0.249977111117893"/>
      <name val="Book Antiqua"/>
      <family val="1"/>
    </font>
    <font>
      <b/>
      <i/>
      <sz val="11"/>
      <color theme="9" tint="-0.249977111117893"/>
      <name val="Book Antiqua"/>
      <family val="1"/>
    </font>
    <font>
      <b/>
      <sz val="10"/>
      <color theme="0"/>
      <name val="Cambria"/>
      <family val="1"/>
    </font>
    <font>
      <b/>
      <sz val="10"/>
      <name val="Cambria"/>
      <family val="1"/>
    </font>
    <font>
      <sz val="10"/>
      <name val="Cambria"/>
      <family val="1"/>
    </font>
    <font>
      <b/>
      <sz val="10"/>
      <color theme="0"/>
      <name val="Book Antiqua"/>
      <family val="1"/>
    </font>
    <font>
      <sz val="22"/>
      <color theme="0"/>
      <name val="Book Antiqua"/>
      <family val="1"/>
    </font>
    <font>
      <b/>
      <sz val="12"/>
      <color theme="0"/>
      <name val="Arial Black"/>
      <family val="2"/>
    </font>
    <font>
      <b/>
      <sz val="9"/>
      <color theme="0"/>
      <name val="Arial Black"/>
      <family val="2"/>
    </font>
    <font>
      <b/>
      <sz val="9"/>
      <color theme="0"/>
      <name val="Arial Nova"/>
      <family val="2"/>
    </font>
    <font>
      <b/>
      <sz val="12"/>
      <color theme="0"/>
      <name val="Calibri"/>
      <family val="2"/>
      <scheme val="minor"/>
    </font>
    <font>
      <b/>
      <sz val="12"/>
      <name val="Calibri"/>
      <family val="2"/>
      <scheme val="minor"/>
    </font>
    <font>
      <b/>
      <sz val="14"/>
      <color theme="0"/>
      <name val="Book Antiqua"/>
      <family val="1"/>
    </font>
    <font>
      <b/>
      <i/>
      <sz val="11"/>
      <color theme="1"/>
      <name val="Book Antiqua"/>
      <family val="1"/>
    </font>
    <font>
      <b/>
      <sz val="11"/>
      <name val="Book Antiqua"/>
      <family val="1"/>
    </font>
  </fonts>
  <fills count="19">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0000"/>
        <bgColor indexed="64"/>
      </patternFill>
    </fill>
    <fill>
      <patternFill patternType="solid">
        <fgColor theme="0" tint="-0.249977111117893"/>
        <bgColor indexed="64"/>
      </patternFill>
    </fill>
    <fill>
      <patternFill patternType="solid">
        <fgColor theme="3" tint="-0.499984740745262"/>
        <bgColor rgb="FFDEEAF6"/>
      </patternFill>
    </fill>
    <fill>
      <patternFill patternType="solid">
        <fgColor theme="3" tint="-0.499984740745262"/>
        <bgColor indexed="64"/>
      </patternFill>
    </fill>
    <fill>
      <patternFill patternType="solid">
        <fgColor theme="0"/>
        <bgColor rgb="FFDEEAF6"/>
      </patternFill>
    </fill>
    <fill>
      <patternFill patternType="solid">
        <fgColor theme="0"/>
        <bgColor indexed="64"/>
      </patternFill>
    </fill>
    <fill>
      <patternFill patternType="solid">
        <fgColor rgb="FF000000"/>
        <bgColor rgb="FFDEEAF6"/>
      </patternFill>
    </fill>
    <fill>
      <patternFill patternType="solid">
        <fgColor rgb="FFFFFFFF"/>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D4D5E"/>
        <bgColor indexed="64"/>
      </patternFill>
    </fill>
  </fills>
  <borders count="52">
    <border>
      <left/>
      <right/>
      <top/>
      <bottom/>
      <diagonal/>
    </border>
    <border>
      <left/>
      <right/>
      <top style="thin">
        <color auto="1"/>
      </top>
      <bottom style="thin">
        <color auto="1"/>
      </bottom>
      <diagonal/>
    </border>
    <border>
      <left/>
      <right style="thin">
        <color theme="2" tint="-0.499984740745262"/>
      </right>
      <top style="thin">
        <color auto="1"/>
      </top>
      <bottom style="thin">
        <color auto="1"/>
      </bottom>
      <diagonal/>
    </border>
    <border>
      <left/>
      <right/>
      <top/>
      <bottom style="double">
        <color auto="1"/>
      </bottom>
      <diagonal/>
    </border>
    <border>
      <left style="thin">
        <color theme="1" tint="0.34998626667073579"/>
      </left>
      <right/>
      <top style="thin">
        <color theme="1" tint="0.34998626667073579"/>
      </top>
      <bottom style="thin">
        <color auto="1"/>
      </bottom>
      <diagonal/>
    </border>
    <border>
      <left/>
      <right/>
      <top style="thin">
        <color theme="1" tint="0.34998626667073579"/>
      </top>
      <bottom style="thin">
        <color auto="1"/>
      </bottom>
      <diagonal/>
    </border>
    <border>
      <left/>
      <right style="thin">
        <color theme="2" tint="-0.499984740745262"/>
      </right>
      <top/>
      <bottom/>
      <diagonal/>
    </border>
    <border>
      <left style="dashed">
        <color auto="1"/>
      </left>
      <right style="dashed">
        <color auto="1"/>
      </right>
      <top style="dashed">
        <color auto="1"/>
      </top>
      <bottom style="dashed">
        <color auto="1"/>
      </bottom>
      <diagonal/>
    </border>
    <border>
      <left/>
      <right/>
      <top/>
      <bottom style="thin">
        <color theme="0"/>
      </bottom>
      <diagonal/>
    </border>
    <border>
      <left/>
      <right/>
      <top style="thin">
        <color auto="1"/>
      </top>
      <bottom style="thin">
        <color theme="0"/>
      </bottom>
      <diagonal/>
    </border>
    <border>
      <left/>
      <right/>
      <top/>
      <bottom style="thin">
        <color auto="1"/>
      </bottom>
      <diagonal/>
    </border>
    <border>
      <left/>
      <right/>
      <top style="thin">
        <color auto="1"/>
      </top>
      <bottom/>
      <diagonal/>
    </border>
    <border>
      <left/>
      <right/>
      <top style="thin">
        <color auto="1"/>
      </top>
      <bottom style="double">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style="thin">
        <color auto="1"/>
      </left>
      <right style="thin">
        <color theme="2" tint="-9.9978637043366805E-2"/>
      </right>
      <top style="thin">
        <color auto="1"/>
      </top>
      <bottom style="thin">
        <color theme="2" tint="-9.9978637043366805E-2"/>
      </bottom>
      <diagonal/>
    </border>
    <border>
      <left style="thin">
        <color auto="1"/>
      </left>
      <right style="thin">
        <color theme="2" tint="-9.9978637043366805E-2"/>
      </right>
      <top style="thin">
        <color theme="2" tint="-9.9978637043366805E-2"/>
      </top>
      <bottom style="thin">
        <color theme="2" tint="-9.9978637043366805E-2"/>
      </bottom>
      <diagonal/>
    </border>
    <border>
      <left style="thin">
        <color auto="1"/>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dashed">
        <color auto="1"/>
      </left>
      <right/>
      <top style="dashed">
        <color auto="1"/>
      </top>
      <bottom style="thin">
        <color auto="1"/>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right style="thin">
        <color auto="1"/>
      </right>
      <top/>
      <bottom style="thin">
        <color indexed="64"/>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theme="2" tint="-9.9978637043366805E-2"/>
      </left>
      <right/>
      <top style="thin">
        <color theme="2" tint="-9.9978637043366805E-2"/>
      </top>
      <bottom style="thin">
        <color auto="1"/>
      </bottom>
      <diagonal/>
    </border>
    <border>
      <left/>
      <right/>
      <top style="thin">
        <color theme="2" tint="-9.9978637043366805E-2"/>
      </top>
      <bottom style="thin">
        <color auto="1"/>
      </bottom>
      <diagonal/>
    </border>
    <border>
      <left/>
      <right style="thin">
        <color theme="2" tint="-9.9978637043366805E-2"/>
      </right>
      <top style="thin">
        <color theme="2" tint="-9.9978637043366805E-2"/>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2" tint="-9.9978637043366805E-2"/>
      </left>
      <right/>
      <top style="thin">
        <color theme="2" tint="-9.9978637043366805E-2"/>
      </top>
      <bottom style="dashed">
        <color auto="1"/>
      </bottom>
      <diagonal/>
    </border>
    <border>
      <left/>
      <right/>
      <top style="thin">
        <color theme="2" tint="-9.9978637043366805E-2"/>
      </top>
      <bottom style="dashed">
        <color auto="1"/>
      </bottom>
      <diagonal/>
    </border>
    <border>
      <left/>
      <right style="thin">
        <color theme="2" tint="-9.9978637043366805E-2"/>
      </right>
      <top style="thin">
        <color theme="2" tint="-9.9978637043366805E-2"/>
      </top>
      <bottom style="dashed">
        <color auto="1"/>
      </bottom>
      <diagonal/>
    </border>
    <border>
      <left/>
      <right/>
      <top style="thin">
        <color theme="0"/>
      </top>
      <bottom style="thin">
        <color theme="0"/>
      </bottom>
      <diagonal/>
    </border>
    <border>
      <left/>
      <right style="thin">
        <color indexed="64"/>
      </right>
      <top style="thin">
        <color theme="0"/>
      </top>
      <bottom/>
      <diagonal/>
    </border>
    <border>
      <left/>
      <right/>
      <top style="double">
        <color theme="0"/>
      </top>
      <bottom style="thin">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bottom style="double">
        <color theme="0"/>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dotted">
        <color auto="1"/>
      </top>
      <bottom style="thin">
        <color auto="1"/>
      </bottom>
      <diagonal/>
    </border>
    <border>
      <left/>
      <right/>
      <top style="hair">
        <color auto="1"/>
      </top>
      <bottom style="hair">
        <color auto="1"/>
      </bottom>
      <diagonal/>
    </border>
    <border>
      <left/>
      <right/>
      <top/>
      <bottom style="hair">
        <color auto="1"/>
      </bottom>
      <diagonal/>
    </border>
    <border>
      <left style="thin">
        <color indexed="64"/>
      </left>
      <right/>
      <top/>
      <bottom/>
      <diagonal/>
    </border>
  </borders>
  <cellStyleXfs count="13">
    <xf numFmtId="0" fontId="0" fillId="0" borderId="0"/>
    <xf numFmtId="43" fontId="4" fillId="0" borderId="0" applyFont="0" applyFill="0" applyBorder="0" applyAlignment="0" applyProtection="0"/>
    <xf numFmtId="0" fontId="5" fillId="0" borderId="0" applyNumberFormat="0" applyFill="0" applyBorder="0" applyAlignment="0" applyProtection="0">
      <alignment vertical="top"/>
      <protection locked="0"/>
    </xf>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9" fontId="4" fillId="0" borderId="0" applyFont="0" applyFill="0" applyBorder="0" applyAlignment="0" applyProtection="0"/>
    <xf numFmtId="0" fontId="23" fillId="0" borderId="0"/>
    <xf numFmtId="0" fontId="4" fillId="0" borderId="0"/>
    <xf numFmtId="0" fontId="36" fillId="0" borderId="0"/>
    <xf numFmtId="0" fontId="4" fillId="0" borderId="0"/>
    <xf numFmtId="0" fontId="44" fillId="0" borderId="0"/>
    <xf numFmtId="164" fontId="36" fillId="0" borderId="0" applyFont="0" applyFill="0" applyBorder="0" applyAlignment="0" applyProtection="0"/>
  </cellStyleXfs>
  <cellXfs count="367">
    <xf numFmtId="0" fontId="0" fillId="0" borderId="0" xfId="0"/>
    <xf numFmtId="43" fontId="2" fillId="0" borderId="0" xfId="1" applyFont="1" applyBorder="1"/>
    <xf numFmtId="0" fontId="2" fillId="0" borderId="0" xfId="0" applyFont="1" applyFill="1" applyBorder="1"/>
    <xf numFmtId="0" fontId="9" fillId="0" borderId="0" xfId="0" applyFont="1" applyFill="1" applyBorder="1" applyAlignment="1"/>
    <xf numFmtId="0" fontId="2"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2" fillId="0" borderId="0" xfId="0" applyFont="1" applyBorder="1"/>
    <xf numFmtId="43" fontId="4" fillId="0" borderId="0" xfId="1" applyFont="1" applyBorder="1"/>
    <xf numFmtId="9" fontId="4" fillId="0" borderId="0" xfId="1" applyNumberFormat="1" applyFont="1" applyBorder="1"/>
    <xf numFmtId="0" fontId="0" fillId="0" borderId="0" xfId="0" applyBorder="1"/>
    <xf numFmtId="43" fontId="3" fillId="2" borderId="0" xfId="3" applyNumberFormat="1" applyFont="1" applyBorder="1"/>
    <xf numFmtId="43" fontId="3" fillId="3" borderId="0" xfId="4" applyNumberFormat="1" applyFont="1" applyBorder="1"/>
    <xf numFmtId="9" fontId="2" fillId="0" borderId="0" xfId="6" applyFont="1" applyBorder="1"/>
    <xf numFmtId="0" fontId="3" fillId="5" borderId="0" xfId="0" applyFont="1" applyFill="1" applyBorder="1"/>
    <xf numFmtId="165" fontId="3" fillId="5" borderId="0" xfId="0" applyNumberFormat="1" applyFont="1" applyFill="1" applyBorder="1" applyAlignment="1">
      <alignment horizontal="center"/>
    </xf>
    <xf numFmtId="0" fontId="3"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2" fillId="0" borderId="0" xfId="1" applyNumberFormat="1" applyFont="1" applyBorder="1" applyAlignment="1">
      <alignment horizontal="center"/>
    </xf>
    <xf numFmtId="43" fontId="0" fillId="0" borderId="0" xfId="1" applyNumberFormat="1" applyFont="1" applyBorder="1"/>
    <xf numFmtId="10" fontId="2" fillId="0" borderId="0" xfId="0" applyNumberFormat="1" applyFont="1" applyBorder="1"/>
    <xf numFmtId="165" fontId="3" fillId="5" borderId="0" xfId="1" applyNumberFormat="1" applyFont="1" applyFill="1" applyBorder="1"/>
    <xf numFmtId="165" fontId="10" fillId="0" borderId="0" xfId="1" applyNumberFormat="1" applyFont="1" applyFill="1" applyBorder="1"/>
    <xf numFmtId="0" fontId="8" fillId="0" borderId="0" xfId="0" applyFont="1" applyBorder="1"/>
    <xf numFmtId="0" fontId="0" fillId="0" borderId="0" xfId="0" applyBorder="1" applyAlignment="1">
      <alignment horizontal="left"/>
    </xf>
    <xf numFmtId="0" fontId="7" fillId="0" borderId="0" xfId="2" applyFont="1" applyBorder="1" applyAlignment="1" applyProtection="1">
      <alignment horizontal="left"/>
    </xf>
    <xf numFmtId="0" fontId="7" fillId="0" borderId="0" xfId="2" applyFont="1" applyBorder="1" applyAlignment="1" applyProtection="1"/>
    <xf numFmtId="0" fontId="0" fillId="0" borderId="0" xfId="0" applyFont="1" applyFill="1" applyBorder="1"/>
    <xf numFmtId="0" fontId="10" fillId="0" borderId="0" xfId="0" applyFont="1" applyFill="1" applyBorder="1"/>
    <xf numFmtId="164" fontId="0" fillId="0" borderId="0" xfId="1" applyNumberFormat="1" applyFont="1" applyBorder="1"/>
    <xf numFmtId="0" fontId="0" fillId="0" borderId="0" xfId="0" applyFill="1"/>
    <xf numFmtId="0" fontId="6" fillId="0" borderId="0" xfId="0" applyFont="1" applyFill="1"/>
    <xf numFmtId="0" fontId="6" fillId="0" borderId="0" xfId="0" applyFont="1"/>
    <xf numFmtId="0" fontId="6" fillId="6" borderId="0" xfId="0" applyFont="1" applyFill="1"/>
    <xf numFmtId="166" fontId="12" fillId="6" borderId="0" xfId="0" applyNumberFormat="1" applyFont="1" applyFill="1"/>
    <xf numFmtId="0" fontId="3" fillId="0" borderId="0" xfId="0" applyFont="1"/>
    <xf numFmtId="0" fontId="0" fillId="0" borderId="0" xfId="0" applyFont="1"/>
    <xf numFmtId="0" fontId="16" fillId="0" borderId="0" xfId="0" applyFont="1"/>
    <xf numFmtId="0" fontId="17" fillId="0" borderId="0" xfId="0" applyFont="1"/>
    <xf numFmtId="0" fontId="17" fillId="7" borderId="0" xfId="0" applyFont="1" applyFill="1"/>
    <xf numFmtId="0" fontId="0" fillId="7" borderId="0" xfId="0" applyFont="1" applyFill="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3" fontId="0" fillId="0" borderId="0" xfId="0" applyNumberFormat="1" applyFont="1"/>
    <xf numFmtId="3" fontId="2" fillId="0" borderId="0" xfId="0" applyNumberFormat="1" applyFont="1"/>
    <xf numFmtId="0" fontId="2" fillId="7" borderId="0" xfId="0" applyFont="1" applyFill="1"/>
    <xf numFmtId="3" fontId="2" fillId="7" borderId="0" xfId="0" applyNumberFormat="1" applyFont="1" applyFill="1"/>
    <xf numFmtId="166" fontId="20" fillId="8" borderId="1" xfId="0" applyNumberFormat="1" applyFont="1" applyFill="1" applyBorder="1"/>
    <xf numFmtId="0" fontId="21" fillId="10" borderId="3" xfId="0" applyFont="1" applyFill="1" applyBorder="1"/>
    <xf numFmtId="9" fontId="0" fillId="0" borderId="0" xfId="6" applyFont="1"/>
    <xf numFmtId="0" fontId="22" fillId="9" borderId="4" xfId="0" applyFont="1" applyFill="1" applyBorder="1"/>
    <xf numFmtId="0" fontId="0" fillId="6" borderId="0" xfId="0" applyFill="1"/>
    <xf numFmtId="0" fontId="19" fillId="6" borderId="5" xfId="0" applyFont="1" applyFill="1" applyBorder="1"/>
    <xf numFmtId="0" fontId="16" fillId="6" borderId="5" xfId="0" applyFont="1" applyFill="1" applyBorder="1"/>
    <xf numFmtId="0" fontId="0" fillId="6" borderId="0" xfId="0" applyFont="1" applyFill="1"/>
    <xf numFmtId="0" fontId="29" fillId="0" borderId="0" xfId="7" applyFont="1"/>
    <xf numFmtId="0" fontId="28" fillId="0" borderId="0" xfId="0" applyFont="1"/>
    <xf numFmtId="1" fontId="28" fillId="0" borderId="0" xfId="7" applyNumberFormat="1" applyFont="1" applyAlignment="1">
      <alignment horizontal="right"/>
    </xf>
    <xf numFmtId="1" fontId="28" fillId="0" borderId="6" xfId="7" applyNumberFormat="1" applyFont="1" applyBorder="1" applyAlignment="1">
      <alignment horizontal="right"/>
    </xf>
    <xf numFmtId="0" fontId="26" fillId="0" borderId="0" xfId="7" applyFont="1"/>
    <xf numFmtId="0" fontId="30" fillId="0" borderId="0" xfId="0" applyFont="1"/>
    <xf numFmtId="0" fontId="28" fillId="0" borderId="0" xfId="0" applyFont="1" applyAlignment="1">
      <alignment horizontal="center"/>
    </xf>
    <xf numFmtId="0" fontId="28" fillId="0" borderId="6" xfId="0" applyFont="1" applyBorder="1" applyAlignment="1">
      <alignment horizontal="center"/>
    </xf>
    <xf numFmtId="0" fontId="0" fillId="0" borderId="6" xfId="0" applyBorder="1"/>
    <xf numFmtId="0" fontId="22" fillId="11" borderId="0" xfId="0" applyFont="1" applyFill="1" applyBorder="1"/>
    <xf numFmtId="0" fontId="19" fillId="11" borderId="0" xfId="0" applyFont="1" applyFill="1" applyBorder="1"/>
    <xf numFmtId="0" fontId="16" fillId="11" borderId="0" xfId="0" applyFont="1" applyFill="1" applyBorder="1"/>
    <xf numFmtId="0" fontId="0" fillId="11" borderId="0" xfId="0" applyFont="1" applyFill="1"/>
    <xf numFmtId="0" fontId="22" fillId="11" borderId="0" xfId="0" applyFont="1" applyFill="1" applyBorder="1" applyAlignment="1">
      <alignment horizontal="right"/>
    </xf>
    <xf numFmtId="0" fontId="22" fillId="11" borderId="6" xfId="0" applyFont="1" applyFill="1" applyBorder="1" applyAlignment="1">
      <alignment horizontal="right"/>
    </xf>
    <xf numFmtId="0" fontId="0" fillId="11" borderId="0" xfId="0" applyFill="1"/>
    <xf numFmtId="0" fontId="25" fillId="6" borderId="0" xfId="0" applyFont="1" applyFill="1"/>
    <xf numFmtId="0" fontId="26" fillId="7" borderId="0" xfId="7" applyFont="1" applyFill="1"/>
    <xf numFmtId="0" fontId="27" fillId="7" borderId="0" xfId="0" applyFont="1" applyFill="1"/>
    <xf numFmtId="0" fontId="0" fillId="7" borderId="0" xfId="0" applyFill="1"/>
    <xf numFmtId="37" fontId="28" fillId="7" borderId="0" xfId="0" applyNumberFormat="1" applyFont="1" applyFill="1" applyAlignment="1">
      <alignment horizontal="center"/>
    </xf>
    <xf numFmtId="37" fontId="28" fillId="7" borderId="6" xfId="0" applyNumberFormat="1" applyFont="1" applyFill="1" applyBorder="1" applyAlignment="1">
      <alignment horizontal="center"/>
    </xf>
    <xf numFmtId="0" fontId="30" fillId="7" borderId="0" xfId="0" applyFont="1" applyFill="1"/>
    <xf numFmtId="0" fontId="28" fillId="7" borderId="0" xfId="0" applyFont="1" applyFill="1"/>
    <xf numFmtId="0" fontId="28" fillId="7" borderId="0" xfId="0" applyFont="1" applyFill="1" applyAlignment="1">
      <alignment horizontal="center"/>
    </xf>
    <xf numFmtId="0" fontId="28" fillId="7" borderId="6" xfId="0" applyFont="1" applyFill="1" applyBorder="1" applyAlignment="1">
      <alignment horizontal="center"/>
    </xf>
    <xf numFmtId="1" fontId="28" fillId="7" borderId="0" xfId="7" applyNumberFormat="1" applyFont="1" applyFill="1" applyAlignment="1">
      <alignment horizontal="right"/>
    </xf>
    <xf numFmtId="1" fontId="28" fillId="7" borderId="6" xfId="7" applyNumberFormat="1" applyFont="1" applyFill="1" applyBorder="1" applyAlignment="1">
      <alignment horizontal="right"/>
    </xf>
    <xf numFmtId="0" fontId="26" fillId="0" borderId="0" xfId="7" applyFont="1" applyFill="1"/>
    <xf numFmtId="0" fontId="30" fillId="0" borderId="0" xfId="0" applyFont="1" applyFill="1"/>
    <xf numFmtId="1" fontId="30" fillId="0" borderId="0" xfId="7" applyNumberFormat="1" applyFont="1" applyFill="1" applyAlignment="1">
      <alignment horizontal="right"/>
    </xf>
    <xf numFmtId="1" fontId="30" fillId="0" borderId="6" xfId="7" applyNumberFormat="1" applyFont="1" applyFill="1" applyBorder="1" applyAlignment="1">
      <alignment horizontal="right"/>
    </xf>
    <xf numFmtId="0" fontId="31" fillId="6" borderId="0" xfId="7" applyFont="1" applyFill="1"/>
    <xf numFmtId="0" fontId="24" fillId="6" borderId="0" xfId="0" applyFont="1" applyFill="1"/>
    <xf numFmtId="0" fontId="28" fillId="6" borderId="0" xfId="0" applyFont="1" applyFill="1"/>
    <xf numFmtId="0" fontId="28" fillId="6" borderId="0" xfId="0" applyFont="1" applyFill="1" applyAlignment="1">
      <alignment horizontal="center"/>
    </xf>
    <xf numFmtId="0" fontId="32" fillId="12" borderId="1" xfId="0" applyFont="1" applyFill="1" applyBorder="1"/>
    <xf numFmtId="0" fontId="33" fillId="12" borderId="1" xfId="0" applyFont="1" applyFill="1" applyBorder="1"/>
    <xf numFmtId="0" fontId="34" fillId="12" borderId="1" xfId="0" applyFont="1" applyFill="1" applyBorder="1"/>
    <xf numFmtId="0" fontId="22" fillId="6" borderId="4" xfId="0" applyFont="1" applyFill="1" applyBorder="1"/>
    <xf numFmtId="0" fontId="24" fillId="6" borderId="0" xfId="7" applyFont="1" applyFill="1"/>
    <xf numFmtId="0" fontId="28" fillId="6" borderId="6" xfId="0" applyFont="1" applyFill="1" applyBorder="1" applyAlignment="1">
      <alignment horizontal="center"/>
    </xf>
    <xf numFmtId="0" fontId="34" fillId="12" borderId="2" xfId="0" applyFont="1" applyFill="1" applyBorder="1"/>
    <xf numFmtId="43" fontId="30" fillId="7" borderId="0" xfId="1" applyFont="1" applyFill="1" applyAlignment="1">
      <alignment horizontal="right"/>
    </xf>
    <xf numFmtId="43" fontId="30" fillId="7" borderId="6" xfId="1" applyFont="1" applyFill="1" applyBorder="1" applyAlignment="1">
      <alignment horizontal="right"/>
    </xf>
    <xf numFmtId="167" fontId="24" fillId="6" borderId="0" xfId="7" applyNumberFormat="1" applyFont="1" applyFill="1" applyAlignment="1">
      <alignment horizontal="right"/>
    </xf>
    <xf numFmtId="168" fontId="30" fillId="7" borderId="0" xfId="1" applyNumberFormat="1" applyFont="1" applyFill="1" applyAlignment="1">
      <alignment horizontal="right"/>
    </xf>
    <xf numFmtId="168" fontId="30" fillId="7" borderId="6" xfId="1" applyNumberFormat="1" applyFont="1" applyFill="1" applyBorder="1" applyAlignment="1">
      <alignment horizontal="right"/>
    </xf>
    <xf numFmtId="1" fontId="0" fillId="0" borderId="0" xfId="0" applyNumberFormat="1"/>
    <xf numFmtId="0" fontId="0" fillId="7" borderId="0" xfId="0" applyFill="1" applyBorder="1"/>
    <xf numFmtId="0" fontId="17" fillId="7" borderId="0" xfId="7" applyFont="1" applyFill="1" applyBorder="1" applyAlignment="1">
      <alignment vertical="center"/>
    </xf>
    <xf numFmtId="3" fontId="0" fillId="0" borderId="0" xfId="0" applyNumberFormat="1" applyAlignment="1">
      <alignment horizontal="right" vertical="center" wrapText="1"/>
    </xf>
    <xf numFmtId="0" fontId="0" fillId="0" borderId="0" xfId="0" applyAlignment="1">
      <alignment horizontal="right" vertical="center" wrapText="1"/>
    </xf>
    <xf numFmtId="3" fontId="0" fillId="0" borderId="0" xfId="0" applyNumberFormat="1"/>
    <xf numFmtId="0" fontId="11" fillId="6" borderId="0" xfId="0" applyFont="1" applyFill="1" applyAlignment="1"/>
    <xf numFmtId="0" fontId="11" fillId="0" borderId="0" xfId="0" applyFont="1" applyFill="1" applyAlignment="1"/>
    <xf numFmtId="0" fontId="22" fillId="0" borderId="0" xfId="0" applyFont="1" applyFill="1" applyBorder="1" applyAlignment="1">
      <alignment horizontal="right"/>
    </xf>
    <xf numFmtId="166" fontId="22" fillId="6" borderId="5" xfId="0" applyNumberFormat="1" applyFont="1" applyFill="1" applyBorder="1" applyAlignment="1">
      <alignment horizontal="right"/>
    </xf>
    <xf numFmtId="0" fontId="17" fillId="0" borderId="0" xfId="7" applyFont="1" applyFill="1" applyAlignment="1">
      <alignment vertical="center"/>
    </xf>
    <xf numFmtId="0" fontId="17" fillId="0" borderId="0" xfId="7" applyFont="1" applyFill="1"/>
    <xf numFmtId="169" fontId="17" fillId="7" borderId="0" xfId="7" applyNumberFormat="1" applyFont="1" applyFill="1" applyAlignment="1"/>
    <xf numFmtId="169" fontId="17" fillId="0" borderId="0" xfId="7" applyNumberFormat="1" applyFont="1" applyFill="1" applyAlignment="1"/>
    <xf numFmtId="169" fontId="16" fillId="0" borderId="0" xfId="7" applyNumberFormat="1" applyFont="1" applyFill="1" applyAlignment="1"/>
    <xf numFmtId="0" fontId="2" fillId="0" borderId="0" xfId="0" applyFont="1"/>
    <xf numFmtId="0" fontId="2" fillId="0" borderId="0" xfId="0" applyFont="1" applyAlignment="1">
      <alignment horizontal="right" vertical="center" wrapText="1"/>
    </xf>
    <xf numFmtId="3" fontId="2" fillId="0" borderId="0" xfId="0" applyNumberFormat="1" applyFont="1" applyAlignment="1">
      <alignment horizontal="right" vertical="center" wrapText="1"/>
    </xf>
    <xf numFmtId="0" fontId="17" fillId="0" borderId="0" xfId="7" applyFont="1" applyFill="1" applyAlignment="1"/>
    <xf numFmtId="0" fontId="22" fillId="9" borderId="0" xfId="8" applyFont="1" applyFill="1" applyAlignment="1">
      <alignment horizontal="center" vertical="center"/>
    </xf>
    <xf numFmtId="10" fontId="0" fillId="0" borderId="0" xfId="6" applyNumberFormat="1" applyFont="1"/>
    <xf numFmtId="14" fontId="35" fillId="0" borderId="0" xfId="0" applyNumberFormat="1" applyFont="1" applyAlignment="1">
      <alignment vertical="center" wrapText="1"/>
    </xf>
    <xf numFmtId="0" fontId="35" fillId="0" borderId="0" xfId="0" applyFont="1" applyAlignment="1">
      <alignment vertical="center" wrapText="1"/>
    </xf>
    <xf numFmtId="3" fontId="35" fillId="0" borderId="0" xfId="0" applyNumberFormat="1" applyFont="1" applyAlignment="1">
      <alignment vertical="center" wrapText="1"/>
    </xf>
    <xf numFmtId="0" fontId="17" fillId="0" borderId="0" xfId="9" applyFont="1"/>
    <xf numFmtId="171" fontId="17" fillId="11" borderId="7" xfId="9" applyNumberFormat="1" applyFont="1" applyFill="1" applyBorder="1"/>
    <xf numFmtId="170" fontId="16" fillId="0" borderId="0" xfId="9" applyNumberFormat="1" applyFont="1"/>
    <xf numFmtId="170" fontId="17" fillId="11" borderId="7" xfId="9" applyNumberFormat="1" applyFont="1" applyFill="1" applyBorder="1"/>
    <xf numFmtId="14" fontId="37" fillId="0" borderId="0" xfId="0" applyNumberFormat="1" applyFont="1" applyAlignment="1">
      <alignment vertical="center" wrapText="1"/>
    </xf>
    <xf numFmtId="4" fontId="37" fillId="0" borderId="0" xfId="0" applyNumberFormat="1" applyFont="1" applyAlignment="1">
      <alignment vertical="center" wrapText="1"/>
    </xf>
    <xf numFmtId="0" fontId="0" fillId="0" borderId="0" xfId="0" applyAlignment="1">
      <alignment wrapText="1"/>
    </xf>
    <xf numFmtId="0" fontId="39" fillId="9" borderId="0" xfId="10" applyFont="1" applyFill="1" applyAlignment="1">
      <alignment vertical="center"/>
    </xf>
    <xf numFmtId="0" fontId="40" fillId="9" borderId="0" xfId="10" applyFont="1" applyFill="1" applyAlignment="1">
      <alignment horizontal="right" vertical="center"/>
    </xf>
    <xf numFmtId="0" fontId="13" fillId="9" borderId="8" xfId="10" applyFont="1" applyFill="1" applyBorder="1" applyAlignment="1">
      <alignment horizontal="centerContinuous" vertical="center"/>
    </xf>
    <xf numFmtId="0" fontId="39" fillId="9" borderId="8" xfId="10" applyFont="1" applyFill="1" applyBorder="1" applyAlignment="1">
      <alignment horizontal="centerContinuous" vertical="center"/>
    </xf>
    <xf numFmtId="0" fontId="13" fillId="9" borderId="0" xfId="10" applyFont="1" applyFill="1" applyAlignment="1">
      <alignment vertical="center"/>
    </xf>
    <xf numFmtId="0" fontId="13" fillId="9" borderId="0" xfId="10" applyFont="1" applyFill="1" applyAlignment="1">
      <alignment horizontal="center" vertical="center"/>
    </xf>
    <xf numFmtId="0" fontId="13" fillId="9" borderId="0" xfId="10" applyFont="1" applyFill="1" applyAlignment="1">
      <alignment horizontal="right" vertical="center"/>
    </xf>
    <xf numFmtId="0" fontId="39" fillId="9" borderId="0" xfId="10" applyFont="1" applyFill="1" applyAlignment="1">
      <alignment horizontal="center" vertical="center"/>
    </xf>
    <xf numFmtId="0" fontId="12" fillId="9" borderId="0" xfId="10" applyFont="1" applyFill="1" applyAlignment="1">
      <alignment vertical="center"/>
    </xf>
    <xf numFmtId="0" fontId="40" fillId="9" borderId="0" xfId="10" quotePrefix="1" applyFont="1" applyFill="1" applyAlignment="1">
      <alignment horizontal="center" vertical="center"/>
    </xf>
    <xf numFmtId="0" fontId="41" fillId="9" borderId="0" xfId="10" applyFont="1" applyFill="1" applyAlignment="1">
      <alignment horizontal="center" vertical="center"/>
    </xf>
    <xf numFmtId="0" fontId="40" fillId="9" borderId="0" xfId="10" applyFont="1" applyFill="1" applyAlignment="1">
      <alignment horizontal="center" vertical="center"/>
    </xf>
    <xf numFmtId="0" fontId="43" fillId="0" borderId="0" xfId="0" applyFont="1"/>
    <xf numFmtId="0" fontId="46" fillId="13" borderId="0" xfId="0" applyFont="1" applyFill="1" applyAlignment="1">
      <alignment horizontal="right" vertical="center" wrapText="1"/>
    </xf>
    <xf numFmtId="2" fontId="0" fillId="0" borderId="0" xfId="0" applyNumberFormat="1"/>
    <xf numFmtId="0" fontId="19" fillId="9" borderId="0" xfId="10" applyFont="1" applyFill="1" applyAlignment="1">
      <alignment vertical="center"/>
    </xf>
    <xf numFmtId="0" fontId="47" fillId="9" borderId="0" xfId="10" applyFont="1" applyFill="1" applyAlignment="1">
      <alignment vertical="center"/>
    </xf>
    <xf numFmtId="174" fontId="19" fillId="9" borderId="0" xfId="10" applyNumberFormat="1" applyFont="1" applyFill="1" applyAlignment="1">
      <alignment vertical="center"/>
    </xf>
    <xf numFmtId="0" fontId="13" fillId="9" borderId="9" xfId="10" applyFont="1" applyFill="1" applyBorder="1"/>
    <xf numFmtId="0" fontId="13" fillId="9" borderId="9" xfId="10" applyFont="1" applyFill="1" applyBorder="1" applyAlignment="1">
      <alignment horizontal="left"/>
    </xf>
    <xf numFmtId="0" fontId="13" fillId="9" borderId="9" xfId="10" applyFont="1" applyFill="1" applyBorder="1" applyAlignment="1">
      <alignment horizontal="center"/>
    </xf>
    <xf numFmtId="0" fontId="15" fillId="0" borderId="0" xfId="9" applyFont="1" applyAlignment="1">
      <alignment horizontal="left"/>
    </xf>
    <xf numFmtId="0" fontId="13" fillId="6" borderId="0" xfId="11" applyFont="1" applyFill="1"/>
    <xf numFmtId="0" fontId="39" fillId="6" borderId="0" xfId="9" applyFont="1" applyFill="1"/>
    <xf numFmtId="0" fontId="13" fillId="6" borderId="0" xfId="11" applyFont="1" applyFill="1" applyAlignment="1">
      <alignment horizontal="center"/>
    </xf>
    <xf numFmtId="0" fontId="13" fillId="6" borderId="0" xfId="11" applyFont="1" applyFill="1" applyAlignment="1">
      <alignment horizontal="right"/>
    </xf>
    <xf numFmtId="170" fontId="22" fillId="6" borderId="0" xfId="11" applyNumberFormat="1" applyFont="1" applyFill="1" applyAlignment="1">
      <alignment horizontal="right"/>
    </xf>
    <xf numFmtId="2" fontId="22" fillId="6" borderId="0" xfId="6" applyNumberFormat="1" applyFont="1" applyFill="1" applyAlignment="1">
      <alignment horizontal="right"/>
    </xf>
    <xf numFmtId="2" fontId="22" fillId="6" borderId="0" xfId="11" applyNumberFormat="1" applyFont="1" applyFill="1" applyAlignment="1">
      <alignment horizontal="right"/>
    </xf>
    <xf numFmtId="37" fontId="22" fillId="6" borderId="0" xfId="0" applyNumberFormat="1" applyFont="1" applyFill="1"/>
    <xf numFmtId="0" fontId="13" fillId="9" borderId="0" xfId="9" applyFont="1" applyFill="1"/>
    <xf numFmtId="0" fontId="13" fillId="0" borderId="0" xfId="9" applyFont="1" applyFill="1"/>
    <xf numFmtId="0" fontId="45" fillId="7" borderId="0" xfId="11" applyFont="1" applyFill="1" applyAlignment="1">
      <alignment horizontal="left"/>
    </xf>
    <xf numFmtId="0" fontId="14" fillId="7" borderId="0" xfId="9" applyFont="1" applyFill="1"/>
    <xf numFmtId="0" fontId="15" fillId="7" borderId="0" xfId="9" applyFont="1" applyFill="1" applyAlignment="1">
      <alignment horizontal="right"/>
    </xf>
    <xf numFmtId="0" fontId="14" fillId="0" borderId="0" xfId="9" applyFont="1"/>
    <xf numFmtId="0" fontId="15" fillId="7" borderId="0" xfId="9" applyFont="1" applyFill="1"/>
    <xf numFmtId="178" fontId="13" fillId="6" borderId="0" xfId="0" applyNumberFormat="1" applyFont="1" applyFill="1"/>
    <xf numFmtId="176" fontId="24" fillId="0" borderId="0" xfId="0" applyNumberFormat="1" applyFont="1" applyFill="1" applyAlignment="1">
      <alignment horizontal="center"/>
    </xf>
    <xf numFmtId="0" fontId="28" fillId="0" borderId="0" xfId="0" applyFont="1" applyFill="1"/>
    <xf numFmtId="177" fontId="24" fillId="6" borderId="0" xfId="0" applyNumberFormat="1" applyFont="1" applyFill="1" applyAlignment="1">
      <alignment horizontal="center"/>
    </xf>
    <xf numFmtId="176" fontId="24" fillId="6" borderId="0" xfId="0" applyNumberFormat="1" applyFont="1" applyFill="1" applyAlignment="1">
      <alignment horizontal="center"/>
    </xf>
    <xf numFmtId="0" fontId="50" fillId="0" borderId="0" xfId="0" applyFont="1"/>
    <xf numFmtId="0" fontId="51" fillId="0" borderId="0" xfId="0" applyFont="1"/>
    <xf numFmtId="0" fontId="52" fillId="0" borderId="0" xfId="0" applyFont="1"/>
    <xf numFmtId="0" fontId="53" fillId="0" borderId="0" xfId="0" applyFont="1"/>
    <xf numFmtId="175" fontId="54" fillId="0" borderId="0" xfId="0" applyNumberFormat="1" applyFont="1" applyAlignment="1">
      <alignment horizontal="center"/>
    </xf>
    <xf numFmtId="0" fontId="38" fillId="9" borderId="0" xfId="0" applyFont="1" applyFill="1"/>
    <xf numFmtId="0" fontId="16" fillId="9" borderId="0" xfId="0" applyFont="1" applyFill="1"/>
    <xf numFmtId="0" fontId="16" fillId="9" borderId="0" xfId="0" applyFont="1" applyFill="1" applyAlignment="1">
      <alignment horizontal="center"/>
    </xf>
    <xf numFmtId="0" fontId="38" fillId="6" borderId="0" xfId="0" applyFont="1" applyFill="1"/>
    <xf numFmtId="0" fontId="16" fillId="6" borderId="0" xfId="0" applyFont="1" applyFill="1"/>
    <xf numFmtId="0" fontId="16" fillId="6" borderId="0" xfId="0" applyFont="1" applyFill="1" applyAlignment="1">
      <alignment horizontal="center"/>
    </xf>
    <xf numFmtId="0" fontId="17" fillId="0" borderId="10" xfId="0" applyFont="1" applyBorder="1"/>
    <xf numFmtId="0" fontId="17" fillId="0" borderId="11" xfId="0" applyFont="1" applyBorder="1"/>
    <xf numFmtId="0" fontId="16" fillId="0" borderId="10" xfId="0" applyFont="1" applyBorder="1"/>
    <xf numFmtId="0" fontId="17" fillId="0" borderId="12" xfId="0" applyFont="1" applyBorder="1"/>
    <xf numFmtId="0" fontId="16" fillId="0" borderId="11" xfId="0" applyFont="1" applyBorder="1"/>
    <xf numFmtId="0" fontId="16" fillId="0" borderId="12" xfId="0" applyFont="1" applyBorder="1"/>
    <xf numFmtId="169" fontId="0" fillId="0" borderId="0" xfId="0" applyNumberFormat="1"/>
    <xf numFmtId="0" fontId="16" fillId="7" borderId="0" xfId="0" applyFont="1" applyFill="1"/>
    <xf numFmtId="3" fontId="0" fillId="7" borderId="0" xfId="0" applyNumberFormat="1" applyFill="1"/>
    <xf numFmtId="0" fontId="17" fillId="7" borderId="0" xfId="0" applyFont="1" applyFill="1" applyAlignment="1">
      <alignment wrapText="1"/>
    </xf>
    <xf numFmtId="0" fontId="0" fillId="14" borderId="0" xfId="0" applyFill="1"/>
    <xf numFmtId="169" fontId="0" fillId="14" borderId="0" xfId="0" applyNumberFormat="1" applyFill="1"/>
    <xf numFmtId="172" fontId="0" fillId="14" borderId="0" xfId="0" applyNumberFormat="1" applyFill="1"/>
    <xf numFmtId="0" fontId="0" fillId="15" borderId="0" xfId="0" applyFill="1"/>
    <xf numFmtId="0" fontId="16" fillId="9" borderId="13" xfId="0" applyFont="1" applyFill="1" applyBorder="1"/>
    <xf numFmtId="0" fontId="3" fillId="9" borderId="14" xfId="0" applyFont="1" applyFill="1" applyBorder="1" applyAlignment="1">
      <alignment horizontal="center"/>
    </xf>
    <xf numFmtId="0" fontId="3" fillId="9" borderId="15" xfId="0" applyFont="1" applyFill="1" applyBorder="1" applyAlignment="1">
      <alignment horizontal="center"/>
    </xf>
    <xf numFmtId="0" fontId="2" fillId="11" borderId="16" xfId="0" applyFont="1" applyFill="1" applyBorder="1"/>
    <xf numFmtId="170" fontId="17" fillId="11" borderId="0" xfId="6" applyNumberFormat="1" applyFont="1" applyFill="1" applyBorder="1" applyAlignment="1">
      <alignment horizontal="center"/>
    </xf>
    <xf numFmtId="0" fontId="55" fillId="9" borderId="17" xfId="10" applyFont="1" applyFill="1" applyBorder="1"/>
    <xf numFmtId="0" fontId="55" fillId="9" borderId="18" xfId="10" applyFont="1" applyFill="1" applyBorder="1"/>
    <xf numFmtId="0" fontId="55" fillId="9" borderId="19" xfId="10" applyFont="1" applyFill="1" applyBorder="1" applyAlignment="1">
      <alignment horizontal="left" vertical="center"/>
    </xf>
    <xf numFmtId="0" fontId="55" fillId="9" borderId="18" xfId="10" applyFont="1" applyFill="1" applyBorder="1" applyAlignment="1">
      <alignment horizontal="center" vertical="center" wrapText="1"/>
    </xf>
    <xf numFmtId="0" fontId="55" fillId="9" borderId="20" xfId="10" applyFont="1" applyFill="1" applyBorder="1" applyAlignment="1">
      <alignment horizontal="center" vertical="center"/>
    </xf>
    <xf numFmtId="0" fontId="17" fillId="16" borderId="21" xfId="0" applyFont="1" applyFill="1" applyBorder="1" applyAlignment="1">
      <alignment horizontal="center"/>
    </xf>
    <xf numFmtId="0" fontId="2" fillId="0" borderId="27" xfId="0" applyFont="1" applyBorder="1"/>
    <xf numFmtId="0" fontId="2" fillId="0" borderId="27" xfId="0" applyFont="1" applyBorder="1" applyAlignment="1">
      <alignment vertical="center"/>
    </xf>
    <xf numFmtId="0" fontId="22" fillId="9" borderId="1" xfId="0" applyFont="1" applyFill="1" applyBorder="1"/>
    <xf numFmtId="0" fontId="19" fillId="9" borderId="1" xfId="0" applyFont="1" applyFill="1" applyBorder="1"/>
    <xf numFmtId="0" fontId="57" fillId="0" borderId="27" xfId="0" applyFont="1" applyBorder="1" applyAlignment="1">
      <alignment horizontal="center" vertical="center" wrapText="1"/>
    </xf>
    <xf numFmtId="0" fontId="56" fillId="0" borderId="27" xfId="0" applyFont="1" applyBorder="1" applyAlignment="1">
      <alignment vertical="center" wrapText="1"/>
    </xf>
    <xf numFmtId="0" fontId="55" fillId="9" borderId="36" xfId="10" applyFont="1" applyFill="1" applyBorder="1" applyAlignment="1"/>
    <xf numFmtId="0" fontId="2" fillId="0" borderId="22" xfId="0" applyFont="1" applyBorder="1" applyAlignment="1"/>
    <xf numFmtId="0" fontId="55" fillId="0" borderId="38" xfId="10" applyFont="1" applyFill="1" applyBorder="1" applyAlignment="1"/>
    <xf numFmtId="0" fontId="2" fillId="0" borderId="24" xfId="0" applyFont="1" applyFill="1" applyBorder="1" applyAlignment="1"/>
    <xf numFmtId="0" fontId="55" fillId="0" borderId="37" xfId="10" applyFont="1" applyFill="1" applyBorder="1" applyAlignment="1"/>
    <xf numFmtId="0" fontId="2" fillId="0" borderId="23" xfId="0" applyFont="1" applyFill="1" applyBorder="1" applyAlignment="1"/>
    <xf numFmtId="0" fontId="58" fillId="9" borderId="39" xfId="0" applyFont="1" applyFill="1" applyBorder="1" applyAlignment="1">
      <alignment horizontal="center"/>
    </xf>
    <xf numFmtId="0" fontId="61" fillId="9" borderId="41" xfId="0" applyFont="1" applyFill="1" applyBorder="1"/>
    <xf numFmtId="0" fontId="62" fillId="9" borderId="0" xfId="0" applyFont="1" applyFill="1"/>
    <xf numFmtId="0" fontId="61" fillId="9" borderId="8" xfId="0" applyFont="1" applyFill="1" applyBorder="1"/>
    <xf numFmtId="0" fontId="62" fillId="9" borderId="8" xfId="0" applyFont="1" applyFill="1" applyBorder="1"/>
    <xf numFmtId="0" fontId="6" fillId="9" borderId="0" xfId="0" applyFont="1" applyFill="1"/>
    <xf numFmtId="167" fontId="58" fillId="9" borderId="39" xfId="0" applyNumberFormat="1" applyFont="1" applyFill="1" applyBorder="1" applyAlignment="1">
      <alignment horizontal="center"/>
    </xf>
    <xf numFmtId="167" fontId="58" fillId="0" borderId="39" xfId="0" applyNumberFormat="1" applyFont="1" applyFill="1" applyBorder="1" applyAlignment="1">
      <alignment horizontal="center"/>
    </xf>
    <xf numFmtId="0" fontId="58" fillId="0" borderId="39" xfId="0" applyFont="1" applyFill="1" applyBorder="1" applyAlignment="1">
      <alignment horizontal="center"/>
    </xf>
    <xf numFmtId="166" fontId="3" fillId="0" borderId="9" xfId="0" applyNumberFormat="1" applyFont="1" applyFill="1" applyBorder="1" applyAlignment="1">
      <alignment horizontal="center"/>
    </xf>
    <xf numFmtId="0" fontId="3" fillId="0" borderId="3" xfId="0" applyFont="1" applyFill="1" applyBorder="1" applyAlignment="1">
      <alignment horizontal="center"/>
    </xf>
    <xf numFmtId="0" fontId="0" fillId="6" borderId="0" xfId="0" applyFill="1" applyAlignment="1">
      <alignment horizontal="center" vertical="top"/>
    </xf>
    <xf numFmtId="0" fontId="3" fillId="6" borderId="9" xfId="0" applyFont="1" applyFill="1" applyBorder="1" applyAlignment="1">
      <alignment horizontal="center"/>
    </xf>
    <xf numFmtId="0" fontId="3" fillId="6" borderId="3" xfId="0" applyFont="1" applyFill="1" applyBorder="1" applyAlignment="1">
      <alignment horizontal="center"/>
    </xf>
    <xf numFmtId="0" fontId="6" fillId="6" borderId="9" xfId="0" applyFont="1" applyFill="1" applyBorder="1"/>
    <xf numFmtId="166" fontId="3" fillId="6" borderId="9" xfId="0" applyNumberFormat="1" applyFont="1" applyFill="1" applyBorder="1" applyAlignment="1">
      <alignment horizontal="center"/>
    </xf>
    <xf numFmtId="0" fontId="6" fillId="6" borderId="3" xfId="0" applyFont="1" applyFill="1" applyBorder="1"/>
    <xf numFmtId="3" fontId="10" fillId="11" borderId="0" xfId="0" applyNumberFormat="1" applyFont="1" applyFill="1" applyAlignment="1">
      <alignment horizontal="right"/>
    </xf>
    <xf numFmtId="0" fontId="10" fillId="11" borderId="0" xfId="0" applyFont="1" applyFill="1" applyAlignment="1">
      <alignment horizontal="right"/>
    </xf>
    <xf numFmtId="9" fontId="10" fillId="11" borderId="0" xfId="0" applyNumberFormat="1" applyFont="1" applyFill="1" applyAlignment="1">
      <alignment horizontal="right"/>
    </xf>
    <xf numFmtId="0" fontId="10" fillId="11" borderId="44" xfId="0" applyFont="1" applyFill="1" applyBorder="1" applyAlignment="1">
      <alignment horizontal="right"/>
    </xf>
    <xf numFmtId="179" fontId="3" fillId="0" borderId="42" xfId="0" applyNumberFormat="1" applyFont="1" applyFill="1" applyBorder="1" applyAlignment="1">
      <alignment horizontal="right"/>
    </xf>
    <xf numFmtId="179" fontId="3" fillId="0" borderId="43" xfId="0" applyNumberFormat="1" applyFont="1" applyFill="1" applyBorder="1" applyAlignment="1">
      <alignment horizontal="right"/>
    </xf>
    <xf numFmtId="3" fontId="10" fillId="0" borderId="0" xfId="0" applyNumberFormat="1" applyFont="1" applyFill="1" applyAlignment="1">
      <alignment horizontal="right"/>
    </xf>
    <xf numFmtId="179" fontId="63" fillId="9" borderId="25" xfId="0" applyNumberFormat="1" applyFont="1" applyFill="1" applyBorder="1" applyAlignment="1">
      <alignment horizontal="left"/>
    </xf>
    <xf numFmtId="179" fontId="3" fillId="9" borderId="35" xfId="0" applyNumberFormat="1" applyFont="1" applyFill="1" applyBorder="1" applyAlignment="1">
      <alignment horizontal="right"/>
    </xf>
    <xf numFmtId="179" fontId="3" fillId="9" borderId="45" xfId="0" applyNumberFormat="1" applyFont="1" applyFill="1" applyBorder="1" applyAlignment="1">
      <alignment horizontal="right"/>
    </xf>
    <xf numFmtId="0" fontId="64" fillId="11" borderId="33" xfId="0" applyFont="1" applyFill="1" applyBorder="1"/>
    <xf numFmtId="3" fontId="10" fillId="11" borderId="27" xfId="0" applyNumberFormat="1" applyFont="1" applyFill="1" applyBorder="1" applyAlignment="1">
      <alignment horizontal="right"/>
    </xf>
    <xf numFmtId="3" fontId="10" fillId="11" borderId="32" xfId="0" applyNumberFormat="1" applyFont="1" applyFill="1" applyBorder="1" applyAlignment="1">
      <alignment horizontal="right"/>
    </xf>
    <xf numFmtId="0" fontId="10" fillId="11" borderId="27" xfId="0" applyFont="1" applyFill="1" applyBorder="1" applyAlignment="1">
      <alignment horizontal="right"/>
    </xf>
    <xf numFmtId="0" fontId="10" fillId="11" borderId="27" xfId="0" applyNumberFormat="1" applyFont="1" applyFill="1" applyBorder="1" applyAlignment="1">
      <alignment horizontal="right"/>
    </xf>
    <xf numFmtId="0" fontId="10" fillId="11" borderId="32" xfId="0" applyNumberFormat="1" applyFont="1" applyFill="1" applyBorder="1" applyAlignment="1">
      <alignment horizontal="right"/>
    </xf>
    <xf numFmtId="0" fontId="10" fillId="11" borderId="32" xfId="0" applyFont="1" applyFill="1" applyBorder="1" applyAlignment="1">
      <alignment horizontal="right"/>
    </xf>
    <xf numFmtId="0" fontId="64" fillId="11" borderId="46" xfId="0" applyFont="1" applyFill="1" applyBorder="1"/>
    <xf numFmtId="2" fontId="10" fillId="11" borderId="31" xfId="0" applyNumberFormat="1" applyFont="1" applyFill="1" applyBorder="1" applyAlignment="1">
      <alignment horizontal="right"/>
    </xf>
    <xf numFmtId="2" fontId="10" fillId="11" borderId="47" xfId="0" applyNumberFormat="1" applyFont="1" applyFill="1" applyBorder="1" applyAlignment="1">
      <alignment horizontal="right"/>
    </xf>
    <xf numFmtId="0" fontId="0" fillId="0" borderId="10" xfId="0" applyBorder="1"/>
    <xf numFmtId="0" fontId="17" fillId="0" borderId="1" xfId="0" applyFont="1" applyBorder="1"/>
    <xf numFmtId="0" fontId="0" fillId="0" borderId="1" xfId="0" applyBorder="1"/>
    <xf numFmtId="9" fontId="0" fillId="0" borderId="1" xfId="0" applyNumberFormat="1" applyBorder="1"/>
    <xf numFmtId="0" fontId="17" fillId="0" borderId="48" xfId="0" applyFont="1" applyBorder="1"/>
    <xf numFmtId="0" fontId="0" fillId="0" borderId="48" xfId="0" applyBorder="1"/>
    <xf numFmtId="9" fontId="0" fillId="0" borderId="48" xfId="0" applyNumberFormat="1" applyBorder="1"/>
    <xf numFmtId="0" fontId="16" fillId="0" borderId="49" xfId="0" applyFont="1" applyBorder="1"/>
    <xf numFmtId="0" fontId="0" fillId="0" borderId="49" xfId="0" applyBorder="1"/>
    <xf numFmtId="3" fontId="0" fillId="0" borderId="49" xfId="0" applyNumberFormat="1" applyBorder="1"/>
    <xf numFmtId="0" fontId="16" fillId="0" borderId="50" xfId="0" applyFont="1" applyBorder="1"/>
    <xf numFmtId="10" fontId="0" fillId="0" borderId="50" xfId="6" applyNumberFormat="1" applyFont="1" applyBorder="1"/>
    <xf numFmtId="10" fontId="0" fillId="15" borderId="50" xfId="6" applyNumberFormat="1" applyFont="1" applyFill="1" applyBorder="1"/>
    <xf numFmtId="10" fontId="0" fillId="0" borderId="49" xfId="6" applyNumberFormat="1" applyFont="1" applyBorder="1"/>
    <xf numFmtId="10" fontId="0" fillId="15" borderId="49" xfId="6" applyNumberFormat="1" applyFont="1" applyFill="1" applyBorder="1"/>
    <xf numFmtId="10" fontId="0" fillId="15" borderId="49" xfId="0" applyNumberFormat="1" applyFill="1" applyBorder="1"/>
    <xf numFmtId="0" fontId="0" fillId="15" borderId="49" xfId="0" applyFill="1" applyBorder="1"/>
    <xf numFmtId="2" fontId="0" fillId="0" borderId="49" xfId="6" applyNumberFormat="1" applyFont="1" applyBorder="1"/>
    <xf numFmtId="2" fontId="0" fillId="15" borderId="49" xfId="0" applyNumberFormat="1" applyFill="1" applyBorder="1"/>
    <xf numFmtId="173" fontId="0" fillId="0" borderId="49" xfId="0" applyNumberFormat="1" applyBorder="1"/>
    <xf numFmtId="173" fontId="0" fillId="15" borderId="49" xfId="0" applyNumberFormat="1" applyFill="1" applyBorder="1"/>
    <xf numFmtId="0" fontId="17" fillId="0" borderId="0" xfId="0" applyFont="1" applyBorder="1"/>
    <xf numFmtId="169" fontId="0" fillId="0" borderId="10" xfId="0" applyNumberFormat="1" applyBorder="1"/>
    <xf numFmtId="169" fontId="0" fillId="14" borderId="10" xfId="0" applyNumberFormat="1" applyFill="1" applyBorder="1"/>
    <xf numFmtId="169" fontId="0" fillId="0" borderId="12" xfId="0" applyNumberFormat="1" applyBorder="1"/>
    <xf numFmtId="169" fontId="0" fillId="14" borderId="12" xfId="0" applyNumberFormat="1" applyFill="1" applyBorder="1"/>
    <xf numFmtId="0" fontId="17" fillId="0" borderId="49" xfId="0" applyFont="1" applyBorder="1"/>
    <xf numFmtId="0" fontId="16" fillId="0" borderId="49" xfId="0" applyFont="1" applyBorder="1" applyAlignment="1">
      <alignment horizontal="center"/>
    </xf>
    <xf numFmtId="2" fontId="0" fillId="0" borderId="49" xfId="0" applyNumberFormat="1" applyBorder="1"/>
    <xf numFmtId="172" fontId="0" fillId="0" borderId="49" xfId="0" applyNumberFormat="1" applyBorder="1"/>
    <xf numFmtId="9" fontId="0" fillId="0" borderId="49" xfId="6" applyFont="1" applyBorder="1"/>
    <xf numFmtId="170" fontId="0" fillId="0" borderId="49" xfId="6" applyNumberFormat="1" applyFont="1" applyBorder="1"/>
    <xf numFmtId="9" fontId="0" fillId="0" borderId="1" xfId="6" applyFont="1" applyBorder="1"/>
    <xf numFmtId="2" fontId="0" fillId="0" borderId="1" xfId="0" applyNumberFormat="1" applyBorder="1"/>
    <xf numFmtId="0" fontId="0" fillId="0" borderId="1" xfId="0" applyBorder="1" applyAlignment="1">
      <alignment horizontal="right" vertical="center" wrapText="1"/>
    </xf>
    <xf numFmtId="10" fontId="16" fillId="0" borderId="49" xfId="6" applyNumberFormat="1" applyFont="1" applyBorder="1"/>
    <xf numFmtId="0" fontId="65" fillId="9" borderId="0" xfId="0" applyFont="1" applyFill="1"/>
    <xf numFmtId="0" fontId="28" fillId="9" borderId="0" xfId="0" applyFont="1" applyFill="1"/>
    <xf numFmtId="0" fontId="29" fillId="0" borderId="0" xfId="0" applyFont="1"/>
    <xf numFmtId="0" fontId="24" fillId="9" borderId="0" xfId="0" applyFont="1" applyFill="1" applyAlignment="1">
      <alignment horizontal="right" textRotation="45"/>
    </xf>
    <xf numFmtId="3" fontId="28" fillId="0" borderId="0" xfId="0" applyNumberFormat="1" applyFont="1" applyAlignment="1">
      <alignment wrapText="1"/>
    </xf>
    <xf numFmtId="0" fontId="24" fillId="9" borderId="0" xfId="0" applyFont="1" applyFill="1" applyAlignment="1">
      <alignment horizontal="center" textRotation="45" wrapText="1"/>
    </xf>
    <xf numFmtId="0" fontId="24" fillId="0" borderId="0" xfId="0" applyFont="1" applyFill="1" applyAlignment="1">
      <alignment horizontal="right" textRotation="45"/>
    </xf>
    <xf numFmtId="0" fontId="24" fillId="0" borderId="0" xfId="0" applyFont="1" applyFill="1" applyAlignment="1">
      <alignment horizontal="center" textRotation="45" wrapText="1"/>
    </xf>
    <xf numFmtId="2" fontId="16" fillId="0" borderId="49" xfId="0" applyNumberFormat="1" applyFont="1" applyBorder="1"/>
    <xf numFmtId="0" fontId="12" fillId="9" borderId="0" xfId="0" applyFont="1" applyFill="1"/>
    <xf numFmtId="0" fontId="14" fillId="0" borderId="0" xfId="0" applyFont="1"/>
    <xf numFmtId="0" fontId="16" fillId="0" borderId="0" xfId="0" applyFont="1" applyFill="1"/>
    <xf numFmtId="0" fontId="16" fillId="0" borderId="0" xfId="0" applyFont="1" applyFill="1" applyAlignment="1">
      <alignment horizontal="center"/>
    </xf>
    <xf numFmtId="14" fontId="16" fillId="0" borderId="49" xfId="0" applyNumberFormat="1" applyFont="1" applyBorder="1"/>
    <xf numFmtId="10" fontId="16" fillId="0" borderId="49" xfId="0" applyNumberFormat="1" applyFont="1" applyBorder="1"/>
    <xf numFmtId="10" fontId="0" fillId="0" borderId="0" xfId="0" applyNumberFormat="1" applyAlignment="1">
      <alignment vertical="center" wrapText="1"/>
    </xf>
    <xf numFmtId="0" fontId="16" fillId="0" borderId="49" xfId="0" applyNumberFormat="1" applyFont="1" applyBorder="1" applyAlignment="1">
      <alignment horizontal="right"/>
    </xf>
    <xf numFmtId="3" fontId="16" fillId="0" borderId="49" xfId="0" applyNumberFormat="1" applyFont="1" applyBorder="1" applyAlignment="1">
      <alignment horizontal="right"/>
    </xf>
    <xf numFmtId="0" fontId="17" fillId="0" borderId="49" xfId="0" applyNumberFormat="1" applyFont="1" applyBorder="1" applyAlignment="1">
      <alignment horizontal="right"/>
    </xf>
    <xf numFmtId="0" fontId="66" fillId="0" borderId="49" xfId="0" applyFont="1" applyBorder="1"/>
    <xf numFmtId="0" fontId="66" fillId="0" borderId="49" xfId="0" applyNumberFormat="1" applyFont="1" applyBorder="1" applyAlignment="1">
      <alignment horizontal="right"/>
    </xf>
    <xf numFmtId="0" fontId="17" fillId="0" borderId="10" xfId="0" applyFont="1" applyBorder="1" applyAlignment="1">
      <alignment horizontal="centerContinuous"/>
    </xf>
    <xf numFmtId="0" fontId="22" fillId="9" borderId="0" xfId="0" applyFont="1" applyFill="1" applyAlignment="1">
      <alignment horizontal="centerContinuous"/>
    </xf>
    <xf numFmtId="0" fontId="38" fillId="0" borderId="0" xfId="0" applyFont="1" applyFill="1" applyAlignment="1"/>
    <xf numFmtId="0" fontId="17" fillId="0" borderId="10" xfId="0" applyFont="1" applyBorder="1" applyAlignment="1">
      <alignment horizontal="center"/>
    </xf>
    <xf numFmtId="180" fontId="16" fillId="0" borderId="0" xfId="0" applyNumberFormat="1" applyFont="1"/>
    <xf numFmtId="170" fontId="17" fillId="0" borderId="0" xfId="0" applyNumberFormat="1" applyFont="1" applyAlignment="1">
      <alignment horizontal="center"/>
    </xf>
    <xf numFmtId="3" fontId="16" fillId="17" borderId="51" xfId="0" applyNumberFormat="1" applyFont="1" applyFill="1" applyBorder="1" applyAlignment="1">
      <alignment horizontal="center"/>
    </xf>
    <xf numFmtId="3" fontId="16" fillId="17" borderId="0" xfId="0" applyNumberFormat="1" applyFont="1" applyFill="1" applyAlignment="1">
      <alignment horizontal="center"/>
    </xf>
    <xf numFmtId="3" fontId="19" fillId="18" borderId="0" xfId="0" applyNumberFormat="1" applyFont="1" applyFill="1" applyAlignment="1">
      <alignment horizontal="center"/>
    </xf>
    <xf numFmtId="3" fontId="67" fillId="17" borderId="0" xfId="0" applyNumberFormat="1" applyFont="1" applyFill="1" applyAlignment="1">
      <alignment horizontal="center"/>
    </xf>
    <xf numFmtId="170" fontId="17" fillId="0" borderId="47" xfId="0" applyNumberFormat="1" applyFont="1" applyBorder="1" applyAlignment="1">
      <alignment horizontal="center"/>
    </xf>
    <xf numFmtId="0" fontId="19" fillId="9" borderId="1" xfId="0" applyFont="1" applyFill="1" applyBorder="1" applyAlignment="1">
      <alignment horizontal="right"/>
    </xf>
    <xf numFmtId="0" fontId="22" fillId="9" borderId="1" xfId="0" applyFont="1" applyFill="1" applyBorder="1" applyAlignment="1">
      <alignment horizontal="right"/>
    </xf>
    <xf numFmtId="0" fontId="11" fillId="6" borderId="0" xfId="0" applyFont="1" applyFill="1" applyAlignment="1">
      <alignment horizontal="left"/>
    </xf>
    <xf numFmtId="0" fontId="57" fillId="0" borderId="32" xfId="0" applyFont="1" applyBorder="1" applyAlignment="1">
      <alignment horizontal="left" vertical="center" wrapText="1"/>
    </xf>
    <xf numFmtId="0" fontId="57" fillId="0" borderId="1" xfId="0" applyFont="1" applyBorder="1" applyAlignment="1">
      <alignment horizontal="left" vertical="center" wrapText="1"/>
    </xf>
    <xf numFmtId="0" fontId="57" fillId="0" borderId="33" xfId="0" applyFont="1" applyBorder="1" applyAlignment="1">
      <alignment horizontal="left" vertical="center" wrapText="1"/>
    </xf>
    <xf numFmtId="0" fontId="55" fillId="9" borderId="28" xfId="10" applyFont="1" applyFill="1" applyBorder="1" applyAlignment="1">
      <alignment horizontal="center" vertical="center"/>
    </xf>
    <xf numFmtId="0" fontId="55" fillId="9" borderId="29" xfId="10" applyFont="1" applyFill="1" applyBorder="1" applyAlignment="1">
      <alignment horizontal="center" vertical="center"/>
    </xf>
    <xf numFmtId="0" fontId="55" fillId="9" borderId="30" xfId="10" applyFont="1" applyFill="1" applyBorder="1" applyAlignment="1">
      <alignment horizontal="center" vertical="center"/>
    </xf>
    <xf numFmtId="0" fontId="56" fillId="0" borderId="31" xfId="0" applyFont="1" applyBorder="1" applyAlignment="1">
      <alignment horizontal="left" vertical="center" wrapText="1"/>
    </xf>
    <xf numFmtId="0" fontId="56" fillId="0" borderId="34" xfId="0" applyFont="1" applyBorder="1" applyAlignment="1">
      <alignment horizontal="left" vertical="center" wrapText="1"/>
    </xf>
    <xf numFmtId="0" fontId="56" fillId="0" borderId="35" xfId="0" applyFont="1" applyBorder="1" applyAlignment="1">
      <alignment horizontal="left" vertical="center" wrapText="1"/>
    </xf>
    <xf numFmtId="0" fontId="57" fillId="0" borderId="32" xfId="0" applyFont="1" applyBorder="1" applyAlignment="1">
      <alignment horizontal="left" vertical="top" wrapText="1"/>
    </xf>
    <xf numFmtId="0" fontId="57" fillId="0" borderId="1" xfId="0" applyFont="1" applyBorder="1" applyAlignment="1">
      <alignment horizontal="left" vertical="top" wrapText="1"/>
    </xf>
    <xf numFmtId="0" fontId="57" fillId="0" borderId="33" xfId="0" applyFont="1" applyBorder="1" applyAlignment="1">
      <alignment horizontal="left" vertical="top" wrapText="1"/>
    </xf>
    <xf numFmtId="0" fontId="13" fillId="6" borderId="0" xfId="0" applyFont="1" applyFill="1" applyAlignment="1">
      <alignment horizontal="center"/>
    </xf>
    <xf numFmtId="0" fontId="18" fillId="8" borderId="1" xfId="0" applyFont="1" applyFill="1" applyBorder="1" applyAlignment="1">
      <alignment horizontal="left"/>
    </xf>
    <xf numFmtId="0" fontId="17" fillId="0" borderId="0" xfId="0" applyFont="1" applyFill="1" applyAlignment="1">
      <alignment horizontal="left"/>
    </xf>
    <xf numFmtId="0" fontId="17" fillId="0" borderId="0" xfId="9" applyFont="1" applyFill="1" applyAlignment="1">
      <alignment horizontal="center" vertical="center" readingOrder="1"/>
    </xf>
    <xf numFmtId="0" fontId="38" fillId="9" borderId="0" xfId="0" applyFont="1" applyFill="1" applyAlignment="1">
      <alignment horizontal="left"/>
    </xf>
    <xf numFmtId="0" fontId="13" fillId="9" borderId="0" xfId="9" applyFont="1" applyFill="1" applyAlignment="1">
      <alignment horizontal="left"/>
    </xf>
    <xf numFmtId="0" fontId="13" fillId="6" borderId="0" xfId="9" applyFont="1" applyFill="1" applyAlignment="1">
      <alignment horizontal="left" vertical="center"/>
    </xf>
    <xf numFmtId="0" fontId="48" fillId="6" borderId="0" xfId="9" applyFont="1" applyFill="1" applyAlignment="1">
      <alignment horizontal="center" vertical="center" readingOrder="1"/>
    </xf>
    <xf numFmtId="0" fontId="49" fillId="6" borderId="0" xfId="9" applyFont="1" applyFill="1" applyAlignment="1">
      <alignment horizontal="center" vertical="center" readingOrder="1"/>
    </xf>
    <xf numFmtId="0" fontId="22" fillId="6" borderId="0" xfId="0" applyFont="1" applyFill="1" applyAlignment="1">
      <alignment horizontal="center" vertical="center"/>
    </xf>
    <xf numFmtId="0" fontId="12" fillId="6" borderId="0" xfId="0" applyFont="1" applyFill="1" applyAlignment="1">
      <alignment horizontal="center" vertical="center"/>
    </xf>
    <xf numFmtId="0" fontId="22" fillId="9" borderId="0" xfId="0" applyFont="1" applyFill="1" applyAlignment="1">
      <alignment horizontal="center" vertical="center"/>
    </xf>
    <xf numFmtId="0" fontId="59" fillId="9" borderId="40" xfId="0" applyFont="1" applyFill="1" applyBorder="1" applyAlignment="1">
      <alignment horizontal="center"/>
    </xf>
    <xf numFmtId="0" fontId="59" fillId="9" borderId="26" xfId="0" applyFont="1" applyFill="1" applyBorder="1" applyAlignment="1">
      <alignment horizontal="center"/>
    </xf>
    <xf numFmtId="0" fontId="60" fillId="6" borderId="0" xfId="0" applyFont="1" applyFill="1" applyAlignment="1">
      <alignment horizontal="center" vertical="center"/>
    </xf>
    <xf numFmtId="0" fontId="60" fillId="6" borderId="3" xfId="0" applyFont="1" applyFill="1" applyBorder="1" applyAlignment="1">
      <alignment horizontal="center" vertical="center"/>
    </xf>
    <xf numFmtId="0" fontId="17" fillId="0" borderId="0" xfId="0" applyFont="1" applyAlignment="1">
      <alignment horizontal="center" vertical="center" textRotation="180"/>
    </xf>
    <xf numFmtId="0" fontId="38" fillId="9" borderId="0" xfId="0" applyFont="1" applyFill="1" applyAlignment="1">
      <alignment horizontal="center"/>
    </xf>
    <xf numFmtId="43" fontId="5" fillId="0" borderId="0" xfId="2" applyNumberFormat="1" applyBorder="1" applyAlignment="1" applyProtection="1">
      <alignment horizontal="center"/>
    </xf>
    <xf numFmtId="43" fontId="3" fillId="4" borderId="0" xfId="5" applyNumberFormat="1" applyFont="1" applyBorder="1" applyAlignment="1">
      <alignment horizontal="center"/>
    </xf>
  </cellXfs>
  <cellStyles count="13">
    <cellStyle name="60% - Accent1" xfId="3" builtinId="32"/>
    <cellStyle name="60% - Accent3" xfId="4" builtinId="40"/>
    <cellStyle name="Accent6" xfId="5" builtinId="49"/>
    <cellStyle name="Comma" xfId="1" builtinId="3"/>
    <cellStyle name="Comma 5" xfId="12" xr:uid="{D62F0F59-C7AB-4EA5-B01B-AC22996B5DD4}"/>
    <cellStyle name="Hyperlink" xfId="2" builtinId="8"/>
    <cellStyle name="Normal" xfId="0" builtinId="0"/>
    <cellStyle name="Normal 2 2" xfId="10" xr:uid="{B08E5DB3-D6D1-4E89-A7AD-AF441E0AEE65}"/>
    <cellStyle name="Normal 2 3" xfId="8" xr:uid="{472394AA-BEBF-4350-B71C-FD6F0DBC2262}"/>
    <cellStyle name="Normal 3" xfId="7" xr:uid="{55C39B88-F5CF-4EF2-827F-003BA415BCAA}"/>
    <cellStyle name="Normal 5 2" xfId="11" xr:uid="{DA8D1B4A-BBC5-4D14-994C-1310A6B2BA2B}"/>
    <cellStyle name="Normal 6" xfId="9" xr:uid="{6960ED65-7C09-4E62-921F-19C2A1157E33}"/>
    <cellStyle name="Per cent" xfId="6" builtinId="5"/>
  </cellStyles>
  <dxfs count="44">
    <dxf>
      <font>
        <b/>
        <i val="0"/>
        <color theme="0"/>
      </font>
      <fill>
        <patternFill>
          <bgColor theme="5"/>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2"/>
        <color auto="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00000"/>
      <color rgb="FF000099"/>
      <color rgb="FF0275D8"/>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Valuation Summary</a:t>
            </a:r>
            <a:r>
              <a:rPr lang="en-IN" sz="1600" b="1" i="0" u="none" strike="noStrike" baseline="0">
                <a:effectLst>
                  <a:outerShdw blurRad="50800" dist="38100" dir="5400000" algn="t" rotWithShape="0">
                    <a:prstClr val="black">
                      <a:alpha val="40000"/>
                    </a:prstClr>
                  </a:outerShdw>
                </a:effectLst>
              </a:rPr>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tockChart>
        <c:ser>
          <c:idx val="0"/>
          <c:order val="0"/>
          <c:tx>
            <c:strRef>
              <c:f>Summary!$D$5</c:f>
              <c:strCache>
                <c:ptCount val="1"/>
                <c:pt idx="0">
                  <c:v>Comps</c:v>
                </c:pt>
              </c:strCache>
            </c:strRef>
          </c:tx>
          <c:spPr>
            <a:ln w="25400" cap="rnd">
              <a:noFill/>
              <a:round/>
            </a:ln>
            <a:effectLst/>
          </c:spPr>
          <c:marker>
            <c:symbol val="none"/>
          </c:marker>
          <c:val>
            <c:numRef>
              <c:f>Summary!$D$6:$D$10</c:f>
              <c:numCache>
                <c:formatCode>0.00</c:formatCode>
                <c:ptCount val="5"/>
                <c:pt idx="1">
                  <c:v>4585.6398259870311</c:v>
                </c:pt>
                <c:pt idx="2">
                  <c:v>4585.6398259870311</c:v>
                </c:pt>
                <c:pt idx="3">
                  <c:v>128.47452734684944</c:v>
                </c:pt>
                <c:pt idx="4">
                  <c:v>128.47452734684944</c:v>
                </c:pt>
              </c:numCache>
            </c:numRef>
          </c:val>
          <c:smooth val="0"/>
          <c:extLst>
            <c:ext xmlns:c16="http://schemas.microsoft.com/office/drawing/2014/chart" uri="{C3380CC4-5D6E-409C-BE32-E72D297353CC}">
              <c16:uniqueId val="{00000000-A6C9-4E3B-96BB-3BF1F7F9C28F}"/>
            </c:ext>
          </c:extLst>
        </c:ser>
        <c:ser>
          <c:idx val="1"/>
          <c:order val="1"/>
          <c:tx>
            <c:strRef>
              <c:f>Summary!$E$5</c:f>
              <c:strCache>
                <c:ptCount val="1"/>
                <c:pt idx="0">
                  <c:v>DCF</c:v>
                </c:pt>
              </c:strCache>
            </c:strRef>
          </c:tx>
          <c:spPr>
            <a:ln w="25400" cap="rnd">
              <a:noFill/>
              <a:round/>
            </a:ln>
            <a:effectLst/>
          </c:spPr>
          <c:marker>
            <c:symbol val="none"/>
          </c:marker>
          <c:val>
            <c:numRef>
              <c:f>Summary!$E$6:$E$10</c:f>
              <c:numCache>
                <c:formatCode>General</c:formatCode>
                <c:ptCount val="5"/>
                <c:pt idx="1">
                  <c:v>219</c:v>
                </c:pt>
                <c:pt idx="2">
                  <c:v>219</c:v>
                </c:pt>
                <c:pt idx="3">
                  <c:v>65</c:v>
                </c:pt>
                <c:pt idx="4">
                  <c:v>65</c:v>
                </c:pt>
              </c:numCache>
            </c:numRef>
          </c:val>
          <c:smooth val="0"/>
          <c:extLst>
            <c:ext xmlns:c16="http://schemas.microsoft.com/office/drawing/2014/chart" uri="{C3380CC4-5D6E-409C-BE32-E72D297353CC}">
              <c16:uniqueId val="{00000001-A6C9-4E3B-96BB-3BF1F7F9C28F}"/>
            </c:ext>
          </c:extLst>
        </c:ser>
        <c:ser>
          <c:idx val="2"/>
          <c:order val="2"/>
          <c:tx>
            <c:strRef>
              <c:f>Summary!$F$5</c:f>
              <c:strCache>
                <c:ptCount val="1"/>
                <c:pt idx="0">
                  <c:v>52-week hi/lo</c:v>
                </c:pt>
              </c:strCache>
            </c:strRef>
          </c:tx>
          <c:spPr>
            <a:ln w="25400" cap="rnd">
              <a:noFill/>
              <a:round/>
            </a:ln>
            <a:effectLst/>
          </c:spPr>
          <c:marker>
            <c:symbol val="none"/>
          </c:marker>
          <c:val>
            <c:numRef>
              <c:f>Summary!$F$6:$F$10</c:f>
              <c:numCache>
                <c:formatCode>General</c:formatCode>
                <c:ptCount val="5"/>
                <c:pt idx="1">
                  <c:v>473</c:v>
                </c:pt>
                <c:pt idx="2">
                  <c:v>473</c:v>
                </c:pt>
                <c:pt idx="3">
                  <c:v>253</c:v>
                </c:pt>
                <c:pt idx="4">
                  <c:v>253</c:v>
                </c:pt>
              </c:numCache>
            </c:numRef>
          </c:val>
          <c:smooth val="0"/>
          <c:extLst>
            <c:ext xmlns:c16="http://schemas.microsoft.com/office/drawing/2014/chart" uri="{C3380CC4-5D6E-409C-BE32-E72D297353CC}">
              <c16:uniqueId val="{00000002-A6C9-4E3B-96BB-3BF1F7F9C28F}"/>
            </c:ext>
          </c:extLst>
        </c:ser>
        <c:ser>
          <c:idx val="3"/>
          <c:order val="3"/>
          <c:tx>
            <c:strRef>
              <c:f>Summary!$G$5</c:f>
              <c:strCache>
                <c:ptCount val="1"/>
                <c:pt idx="0">
                  <c:v>market consensus</c:v>
                </c:pt>
              </c:strCache>
            </c:strRef>
          </c:tx>
          <c:spPr>
            <a:ln w="25400" cap="rnd">
              <a:noFill/>
              <a:round/>
            </a:ln>
            <a:effectLst/>
          </c:spPr>
          <c:marker>
            <c:symbol val="none"/>
          </c:marker>
          <c:val>
            <c:numRef>
              <c:f>Summary!$G$6:$G$10</c:f>
              <c:numCache>
                <c:formatCode>General</c:formatCode>
                <c:ptCount val="5"/>
                <c:pt idx="1">
                  <c:v>593</c:v>
                </c:pt>
                <c:pt idx="2">
                  <c:v>593</c:v>
                </c:pt>
                <c:pt idx="3">
                  <c:v>263</c:v>
                </c:pt>
                <c:pt idx="4">
                  <c:v>263</c:v>
                </c:pt>
              </c:numCache>
            </c:numRef>
          </c:val>
          <c:smooth val="0"/>
          <c:extLst>
            <c:ext xmlns:c16="http://schemas.microsoft.com/office/drawing/2014/chart" uri="{C3380CC4-5D6E-409C-BE32-E72D297353CC}">
              <c16:uniqueId val="{00000003-A6C9-4E3B-96BB-3BF1F7F9C28F}"/>
            </c:ext>
          </c:extLst>
        </c:ser>
        <c:dLbls>
          <c:showLegendKey val="0"/>
          <c:showVal val="0"/>
          <c:showCatName val="0"/>
          <c:showSerName val="0"/>
          <c:showPercent val="0"/>
          <c:showBubbleSize val="0"/>
        </c:dLbls>
        <c:hiLowLines>
          <c:spPr>
            <a:ln w="9525" cap="flat" cmpd="sng" algn="ctr">
              <a:solidFill>
                <a:schemeClr val="lt1"/>
              </a:solidFill>
              <a:round/>
            </a:ln>
            <a:effectLst/>
          </c:spPr>
        </c:hiLowLines>
        <c:upDownBars>
          <c:gapWidth val="150"/>
          <c:upBars>
            <c: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a:effectLst/>
            </c:spPr>
          </c:upBars>
          <c:downBars>
            <c: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a:effectLst/>
            </c:spPr>
          </c:downBars>
        </c:upDownBars>
        <c:axId val="168837232"/>
        <c:axId val="168837648"/>
      </c:stockChart>
      <c:catAx>
        <c:axId val="168837232"/>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837648"/>
        <c:crosses val="autoZero"/>
        <c:auto val="1"/>
        <c:lblAlgn val="ctr"/>
        <c:lblOffset val="100"/>
        <c:noMultiLvlLbl val="0"/>
      </c:catAx>
      <c:valAx>
        <c:axId val="168837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837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Quarters!$B$4</c:f>
              <c:strCache>
                <c:ptCount val="1"/>
                <c:pt idx="0">
                  <c:v>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Quarters!$C$3:$L$3</c:f>
              <c:numCache>
                <c:formatCode>mmm\-yy</c:formatCode>
                <c:ptCount val="10"/>
                <c:pt idx="0">
                  <c:v>45199</c:v>
                </c:pt>
                <c:pt idx="1">
                  <c:v>45291</c:v>
                </c:pt>
                <c:pt idx="2">
                  <c:v>45382</c:v>
                </c:pt>
                <c:pt idx="3">
                  <c:v>45473</c:v>
                </c:pt>
                <c:pt idx="4">
                  <c:v>45565</c:v>
                </c:pt>
                <c:pt idx="5">
                  <c:v>45657</c:v>
                </c:pt>
                <c:pt idx="6">
                  <c:v>45747</c:v>
                </c:pt>
                <c:pt idx="7">
                  <c:v>45838</c:v>
                </c:pt>
                <c:pt idx="8">
                  <c:v>45930</c:v>
                </c:pt>
                <c:pt idx="9">
                  <c:v>46022</c:v>
                </c:pt>
              </c:numCache>
            </c:numRef>
          </c:cat>
          <c:val>
            <c:numRef>
              <c:f>Quarters!$C$4:$L$4</c:f>
              <c:numCache>
                <c:formatCode>#,##0</c:formatCode>
                <c:ptCount val="10"/>
                <c:pt idx="0">
                  <c:v>4009.06</c:v>
                </c:pt>
                <c:pt idx="1">
                  <c:v>4162.16</c:v>
                </c:pt>
                <c:pt idx="2">
                  <c:v>8564.08</c:v>
                </c:pt>
                <c:pt idx="3">
                  <c:v>4243.57</c:v>
                </c:pt>
                <c:pt idx="4">
                  <c:v>4604.8999999999996</c:v>
                </c:pt>
                <c:pt idx="5">
                  <c:v>5770.69</c:v>
                </c:pt>
                <c:pt idx="6">
                  <c:v>9149.59</c:v>
                </c:pt>
                <c:pt idx="7">
                  <c:v>4439.74</c:v>
                </c:pt>
                <c:pt idx="8">
                  <c:v>5792.09</c:v>
                </c:pt>
                <c:pt idx="9">
                  <c:v>7153.85</c:v>
                </c:pt>
              </c:numCache>
            </c:numRef>
          </c:val>
          <c:extLst>
            <c:ext xmlns:c16="http://schemas.microsoft.com/office/drawing/2014/chart" uri="{C3380CC4-5D6E-409C-BE32-E72D297353CC}">
              <c16:uniqueId val="{00000000-3BAA-4F85-83BA-0DDB820B8C36}"/>
            </c:ext>
          </c:extLst>
        </c:ser>
        <c:dLbls>
          <c:showLegendKey val="0"/>
          <c:showVal val="0"/>
          <c:showCatName val="0"/>
          <c:showSerName val="0"/>
          <c:showPercent val="0"/>
          <c:showBubbleSize val="0"/>
        </c:dLbls>
        <c:gapWidth val="315"/>
        <c:overlap val="-40"/>
        <c:axId val="1000912240"/>
        <c:axId val="1000908912"/>
      </c:barChart>
      <c:dateAx>
        <c:axId val="100091224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908912"/>
        <c:crosses val="autoZero"/>
        <c:auto val="1"/>
        <c:lblOffset val="100"/>
        <c:baseTimeUnit val="months"/>
      </c:dateAx>
      <c:valAx>
        <c:axId val="10009089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912240"/>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Quarters!$B$6</c:f>
              <c:strCache>
                <c:ptCount val="1"/>
                <c:pt idx="0">
                  <c:v>Operating Profit</c:v>
                </c:pt>
              </c:strCache>
            </c:strRef>
          </c:tx>
          <c:dPt>
            <c:idx val="0"/>
            <c:bubble3D val="0"/>
            <c:spPr>
              <a:solidFill>
                <a:schemeClr val="accent1"/>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1-553D-4DAC-A55F-F0C1FAF76211}"/>
              </c:ext>
            </c:extLst>
          </c:dPt>
          <c:dPt>
            <c:idx val="1"/>
            <c:bubble3D val="0"/>
            <c:spPr>
              <a:solidFill>
                <a:schemeClr val="accent2"/>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3-553D-4DAC-A55F-F0C1FAF76211}"/>
              </c:ext>
            </c:extLst>
          </c:dPt>
          <c:dPt>
            <c:idx val="2"/>
            <c:bubble3D val="0"/>
            <c:spPr>
              <a:solidFill>
                <a:schemeClr val="accent3"/>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5-553D-4DAC-A55F-F0C1FAF76211}"/>
              </c:ext>
            </c:extLst>
          </c:dPt>
          <c:dPt>
            <c:idx val="3"/>
            <c:bubble3D val="0"/>
            <c:spPr>
              <a:solidFill>
                <a:schemeClr val="accent4"/>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7-553D-4DAC-A55F-F0C1FAF76211}"/>
              </c:ext>
            </c:extLst>
          </c:dPt>
          <c:dPt>
            <c:idx val="4"/>
            <c:bubble3D val="0"/>
            <c:spPr>
              <a:solidFill>
                <a:schemeClr val="accent5"/>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9-553D-4DAC-A55F-F0C1FAF76211}"/>
              </c:ext>
            </c:extLst>
          </c:dPt>
          <c:dPt>
            <c:idx val="5"/>
            <c:bubble3D val="0"/>
            <c:spPr>
              <a:solidFill>
                <a:schemeClr val="accent6"/>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B-553D-4DAC-A55F-F0C1FAF76211}"/>
              </c:ext>
            </c:extLst>
          </c:dPt>
          <c:dPt>
            <c:idx val="6"/>
            <c:bubble3D val="0"/>
            <c:spPr>
              <a:solidFill>
                <a:schemeClr val="accent1">
                  <a:lumMod val="60000"/>
                </a:schemeClr>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D-553D-4DAC-A55F-F0C1FAF76211}"/>
              </c:ext>
            </c:extLst>
          </c:dPt>
          <c:dPt>
            <c:idx val="7"/>
            <c:bubble3D val="0"/>
            <c:spPr>
              <a:solidFill>
                <a:schemeClr val="accent2">
                  <a:lumMod val="60000"/>
                </a:schemeClr>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F-553D-4DAC-A55F-F0C1FAF76211}"/>
              </c:ext>
            </c:extLst>
          </c:dPt>
          <c:dPt>
            <c:idx val="8"/>
            <c:bubble3D val="0"/>
            <c:spPr>
              <a:solidFill>
                <a:schemeClr val="accent3">
                  <a:lumMod val="60000"/>
                </a:schemeClr>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11-553D-4DAC-A55F-F0C1FAF76211}"/>
              </c:ext>
            </c:extLst>
          </c:dPt>
          <c:dPt>
            <c:idx val="9"/>
            <c:bubble3D val="0"/>
            <c:spPr>
              <a:solidFill>
                <a:schemeClr val="accent4">
                  <a:lumMod val="60000"/>
                </a:schemeClr>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13-553D-4DAC-A55F-F0C1FAF762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numRef>
              <c:f>Quarters!$C$3:$L$3</c:f>
              <c:numCache>
                <c:formatCode>mmm\-yy</c:formatCode>
                <c:ptCount val="10"/>
                <c:pt idx="0">
                  <c:v>45199</c:v>
                </c:pt>
                <c:pt idx="1">
                  <c:v>45291</c:v>
                </c:pt>
                <c:pt idx="2">
                  <c:v>45382</c:v>
                </c:pt>
                <c:pt idx="3">
                  <c:v>45473</c:v>
                </c:pt>
                <c:pt idx="4">
                  <c:v>45565</c:v>
                </c:pt>
                <c:pt idx="5">
                  <c:v>45657</c:v>
                </c:pt>
                <c:pt idx="6">
                  <c:v>45747</c:v>
                </c:pt>
                <c:pt idx="7">
                  <c:v>45838</c:v>
                </c:pt>
                <c:pt idx="8">
                  <c:v>45930</c:v>
                </c:pt>
                <c:pt idx="9">
                  <c:v>46022</c:v>
                </c:pt>
              </c:numCache>
            </c:numRef>
          </c:cat>
          <c:val>
            <c:numRef>
              <c:f>Quarters!$C$6:$L$6</c:f>
              <c:numCache>
                <c:formatCode>#,##0</c:formatCode>
                <c:ptCount val="10"/>
                <c:pt idx="0" formatCode="General">
                  <c:v>1014.17</c:v>
                </c:pt>
                <c:pt idx="1">
                  <c:v>1072.5</c:v>
                </c:pt>
                <c:pt idx="2">
                  <c:v>2287.23</c:v>
                </c:pt>
                <c:pt idx="3">
                  <c:v>948.2</c:v>
                </c:pt>
                <c:pt idx="4" formatCode="General">
                  <c:v>1399.95</c:v>
                </c:pt>
                <c:pt idx="5">
                  <c:v>1669.49</c:v>
                </c:pt>
                <c:pt idx="6" formatCode="General">
                  <c:v>2816.06</c:v>
                </c:pt>
                <c:pt idx="7">
                  <c:v>1238.27</c:v>
                </c:pt>
                <c:pt idx="8" formatCode="General">
                  <c:v>1702.17</c:v>
                </c:pt>
                <c:pt idx="9">
                  <c:v>2127.2399999999998</c:v>
                </c:pt>
              </c:numCache>
            </c:numRef>
          </c:val>
          <c:extLst>
            <c:ext xmlns:c16="http://schemas.microsoft.com/office/drawing/2014/chart" uri="{C3380CC4-5D6E-409C-BE32-E72D297353CC}">
              <c16:uniqueId val="{00000000-CEDD-4781-9839-66B996B98EE6}"/>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Quarters!$B$12</c:f>
              <c:strCache>
                <c:ptCount val="1"/>
                <c:pt idx="0">
                  <c:v>Net profit</c:v>
                </c:pt>
              </c:strCache>
            </c:strRef>
          </c:tx>
          <c:spPr>
            <a:ln w="22225" cap="rnd">
              <a:solidFill>
                <a:schemeClr val="accent1"/>
              </a:solidFill>
            </a:ln>
            <a:effectLst>
              <a:glow rad="139700">
                <a:schemeClr val="accent1">
                  <a:satMod val="175000"/>
                  <a:alpha val="14000"/>
                </a:schemeClr>
              </a:glow>
            </a:effectLst>
          </c:spPr>
          <c:marker>
            <c:symbol val="none"/>
          </c:marker>
          <c:cat>
            <c:numRef>
              <c:f>Quarters!$C$3:$L$3</c:f>
              <c:numCache>
                <c:formatCode>mmm\-yy</c:formatCode>
                <c:ptCount val="10"/>
                <c:pt idx="0">
                  <c:v>45199</c:v>
                </c:pt>
                <c:pt idx="1">
                  <c:v>45291</c:v>
                </c:pt>
                <c:pt idx="2">
                  <c:v>45382</c:v>
                </c:pt>
                <c:pt idx="3">
                  <c:v>45473</c:v>
                </c:pt>
                <c:pt idx="4">
                  <c:v>45565</c:v>
                </c:pt>
                <c:pt idx="5">
                  <c:v>45657</c:v>
                </c:pt>
                <c:pt idx="6">
                  <c:v>45747</c:v>
                </c:pt>
                <c:pt idx="7">
                  <c:v>45838</c:v>
                </c:pt>
                <c:pt idx="8">
                  <c:v>45930</c:v>
                </c:pt>
                <c:pt idx="9">
                  <c:v>46022</c:v>
                </c:pt>
              </c:numCache>
            </c:numRef>
          </c:cat>
          <c:val>
            <c:numRef>
              <c:f>Quarters!$C$12:$L$12</c:f>
              <c:numCache>
                <c:formatCode>General</c:formatCode>
                <c:ptCount val="10"/>
                <c:pt idx="0">
                  <c:v>789.35</c:v>
                </c:pt>
                <c:pt idx="1">
                  <c:v>859.58</c:v>
                </c:pt>
                <c:pt idx="2">
                  <c:v>1797.11</c:v>
                </c:pt>
                <c:pt idx="3">
                  <c:v>791</c:v>
                </c:pt>
                <c:pt idx="4">
                  <c:v>1092.45</c:v>
                </c:pt>
                <c:pt idx="5">
                  <c:v>1310.95</c:v>
                </c:pt>
                <c:pt idx="6">
                  <c:v>2127.04</c:v>
                </c:pt>
                <c:pt idx="7">
                  <c:v>969.91</c:v>
                </c:pt>
                <c:pt idx="8">
                  <c:v>1287.77</c:v>
                </c:pt>
                <c:pt idx="9">
                  <c:v>1579.1</c:v>
                </c:pt>
              </c:numCache>
            </c:numRef>
          </c:val>
          <c:smooth val="0"/>
          <c:extLst>
            <c:ext xmlns:c16="http://schemas.microsoft.com/office/drawing/2014/chart" uri="{C3380CC4-5D6E-409C-BE32-E72D297353CC}">
              <c16:uniqueId val="{00000000-3A44-464E-916A-0E375D1E18F8}"/>
            </c:ext>
          </c:extLst>
        </c:ser>
        <c:dLbls>
          <c:showLegendKey val="0"/>
          <c:showVal val="0"/>
          <c:showCatName val="0"/>
          <c:showSerName val="0"/>
          <c:showPercent val="0"/>
          <c:showBubbleSize val="0"/>
        </c:dLbls>
        <c:smooth val="0"/>
        <c:axId val="1125129200"/>
        <c:axId val="1125127120"/>
      </c:lineChart>
      <c:dateAx>
        <c:axId val="112512920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5127120"/>
        <c:crosses val="autoZero"/>
        <c:auto val="1"/>
        <c:lblOffset val="100"/>
        <c:baseTimeUnit val="months"/>
      </c:dateAx>
      <c:valAx>
        <c:axId val="11251271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5129200"/>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Expenses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Quarters!$C$3</c:f>
              <c:strCache>
                <c:ptCount val="1"/>
                <c:pt idx="0">
                  <c:v>Sep-23</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Quarters!$B$5</c:f>
              <c:strCache>
                <c:ptCount val="1"/>
                <c:pt idx="0">
                  <c:v>Expenses</c:v>
                </c:pt>
              </c:strCache>
            </c:strRef>
          </c:cat>
          <c:val>
            <c:numRef>
              <c:f>Quarters!$C$5</c:f>
              <c:numCache>
                <c:formatCode>#,##0</c:formatCode>
                <c:ptCount val="1"/>
                <c:pt idx="0">
                  <c:v>2994.89</c:v>
                </c:pt>
              </c:numCache>
            </c:numRef>
          </c:val>
          <c:extLst>
            <c:ext xmlns:c16="http://schemas.microsoft.com/office/drawing/2014/chart" uri="{C3380CC4-5D6E-409C-BE32-E72D297353CC}">
              <c16:uniqueId val="{00000000-2ADF-4379-B5D9-E0E37A18A1BA}"/>
            </c:ext>
          </c:extLst>
        </c:ser>
        <c:ser>
          <c:idx val="1"/>
          <c:order val="1"/>
          <c:tx>
            <c:strRef>
              <c:f>Quarters!$D$3</c:f>
              <c:strCache>
                <c:ptCount val="1"/>
                <c:pt idx="0">
                  <c:v>Dec-23</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Quarters!$B$5</c:f>
              <c:strCache>
                <c:ptCount val="1"/>
                <c:pt idx="0">
                  <c:v>Expenses</c:v>
                </c:pt>
              </c:strCache>
            </c:strRef>
          </c:cat>
          <c:val>
            <c:numRef>
              <c:f>Quarters!$D$5</c:f>
              <c:numCache>
                <c:formatCode>#,##0</c:formatCode>
                <c:ptCount val="1"/>
                <c:pt idx="0">
                  <c:v>3089.66</c:v>
                </c:pt>
              </c:numCache>
            </c:numRef>
          </c:val>
          <c:extLst>
            <c:ext xmlns:c16="http://schemas.microsoft.com/office/drawing/2014/chart" uri="{C3380CC4-5D6E-409C-BE32-E72D297353CC}">
              <c16:uniqueId val="{00000001-2ADF-4379-B5D9-E0E37A18A1BA}"/>
            </c:ext>
          </c:extLst>
        </c:ser>
        <c:ser>
          <c:idx val="2"/>
          <c:order val="2"/>
          <c:tx>
            <c:strRef>
              <c:f>Quarters!$E$3</c:f>
              <c:strCache>
                <c:ptCount val="1"/>
                <c:pt idx="0">
                  <c:v>Mar-24</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Quarters!$B$5</c:f>
              <c:strCache>
                <c:ptCount val="1"/>
                <c:pt idx="0">
                  <c:v>Expenses</c:v>
                </c:pt>
              </c:strCache>
            </c:strRef>
          </c:cat>
          <c:val>
            <c:numRef>
              <c:f>Quarters!$E$5</c:f>
              <c:numCache>
                <c:formatCode>#,##0</c:formatCode>
                <c:ptCount val="1"/>
                <c:pt idx="0">
                  <c:v>6276.85</c:v>
                </c:pt>
              </c:numCache>
            </c:numRef>
          </c:val>
          <c:extLst>
            <c:ext xmlns:c16="http://schemas.microsoft.com/office/drawing/2014/chart" uri="{C3380CC4-5D6E-409C-BE32-E72D297353CC}">
              <c16:uniqueId val="{00000002-2ADF-4379-B5D9-E0E37A18A1BA}"/>
            </c:ext>
          </c:extLst>
        </c:ser>
        <c:ser>
          <c:idx val="3"/>
          <c:order val="3"/>
          <c:tx>
            <c:strRef>
              <c:f>Quarters!$F$3</c:f>
              <c:strCache>
                <c:ptCount val="1"/>
                <c:pt idx="0">
                  <c:v>Jun-24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Quarters!$B$5</c:f>
              <c:strCache>
                <c:ptCount val="1"/>
                <c:pt idx="0">
                  <c:v>Expenses</c:v>
                </c:pt>
              </c:strCache>
            </c:strRef>
          </c:cat>
          <c:val>
            <c:numRef>
              <c:f>Quarters!$F$5</c:f>
              <c:numCache>
                <c:formatCode>#,##0</c:formatCode>
                <c:ptCount val="1"/>
                <c:pt idx="0">
                  <c:v>3295.37</c:v>
                </c:pt>
              </c:numCache>
            </c:numRef>
          </c:val>
          <c:extLst>
            <c:ext xmlns:c16="http://schemas.microsoft.com/office/drawing/2014/chart" uri="{C3380CC4-5D6E-409C-BE32-E72D297353CC}">
              <c16:uniqueId val="{00000003-2ADF-4379-B5D9-E0E37A18A1BA}"/>
            </c:ext>
          </c:extLst>
        </c:ser>
        <c:ser>
          <c:idx val="4"/>
          <c:order val="4"/>
          <c:tx>
            <c:strRef>
              <c:f>Quarters!$G$3</c:f>
              <c:strCache>
                <c:ptCount val="1"/>
                <c:pt idx="0">
                  <c:v>Sep-24</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Quarters!$B$5</c:f>
              <c:strCache>
                <c:ptCount val="1"/>
                <c:pt idx="0">
                  <c:v>Expenses</c:v>
                </c:pt>
              </c:strCache>
            </c:strRef>
          </c:cat>
          <c:val>
            <c:numRef>
              <c:f>Quarters!$G$5</c:f>
              <c:numCache>
                <c:formatCode>#,##0</c:formatCode>
                <c:ptCount val="1"/>
                <c:pt idx="0">
                  <c:v>3204.95</c:v>
                </c:pt>
              </c:numCache>
            </c:numRef>
          </c:val>
          <c:extLst>
            <c:ext xmlns:c16="http://schemas.microsoft.com/office/drawing/2014/chart" uri="{C3380CC4-5D6E-409C-BE32-E72D297353CC}">
              <c16:uniqueId val="{00000004-2ADF-4379-B5D9-E0E37A18A1BA}"/>
            </c:ext>
          </c:extLst>
        </c:ser>
        <c:ser>
          <c:idx val="5"/>
          <c:order val="5"/>
          <c:tx>
            <c:strRef>
              <c:f>Quarters!$H$3</c:f>
              <c:strCache>
                <c:ptCount val="1"/>
                <c:pt idx="0">
                  <c:v>Dec-24</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Quarters!$B$5</c:f>
              <c:strCache>
                <c:ptCount val="1"/>
                <c:pt idx="0">
                  <c:v>Expenses</c:v>
                </c:pt>
              </c:strCache>
            </c:strRef>
          </c:cat>
          <c:val>
            <c:numRef>
              <c:f>Quarters!$H$5</c:f>
              <c:numCache>
                <c:formatCode>#,##0</c:formatCode>
                <c:ptCount val="1"/>
                <c:pt idx="0">
                  <c:v>4101.2</c:v>
                </c:pt>
              </c:numCache>
            </c:numRef>
          </c:val>
          <c:extLst>
            <c:ext xmlns:c16="http://schemas.microsoft.com/office/drawing/2014/chart" uri="{C3380CC4-5D6E-409C-BE32-E72D297353CC}">
              <c16:uniqueId val="{00000005-2ADF-4379-B5D9-E0E37A18A1BA}"/>
            </c:ext>
          </c:extLst>
        </c:ser>
        <c:ser>
          <c:idx val="6"/>
          <c:order val="6"/>
          <c:tx>
            <c:strRef>
              <c:f>Quarters!$I$3</c:f>
              <c:strCache>
                <c:ptCount val="1"/>
                <c:pt idx="0">
                  <c:v>Mar-25</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Quarters!$B$5</c:f>
              <c:strCache>
                <c:ptCount val="1"/>
                <c:pt idx="0">
                  <c:v>Expenses</c:v>
                </c:pt>
              </c:strCache>
            </c:strRef>
          </c:cat>
          <c:val>
            <c:numRef>
              <c:f>Quarters!$I$5</c:f>
              <c:numCache>
                <c:formatCode>#,##0</c:formatCode>
                <c:ptCount val="1"/>
                <c:pt idx="0">
                  <c:v>6333.53</c:v>
                </c:pt>
              </c:numCache>
            </c:numRef>
          </c:val>
          <c:extLst>
            <c:ext xmlns:c16="http://schemas.microsoft.com/office/drawing/2014/chart" uri="{C3380CC4-5D6E-409C-BE32-E72D297353CC}">
              <c16:uniqueId val="{00000006-2ADF-4379-B5D9-E0E37A18A1BA}"/>
            </c:ext>
          </c:extLst>
        </c:ser>
        <c:ser>
          <c:idx val="7"/>
          <c:order val="7"/>
          <c:tx>
            <c:strRef>
              <c:f>Quarters!$J$3</c:f>
              <c:strCache>
                <c:ptCount val="1"/>
                <c:pt idx="0">
                  <c:v>Jun-25</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Quarters!$B$5</c:f>
              <c:strCache>
                <c:ptCount val="1"/>
                <c:pt idx="0">
                  <c:v>Expenses</c:v>
                </c:pt>
              </c:strCache>
            </c:strRef>
          </c:cat>
          <c:val>
            <c:numRef>
              <c:f>Quarters!$J$5</c:f>
              <c:numCache>
                <c:formatCode>#,##0</c:formatCode>
                <c:ptCount val="1"/>
                <c:pt idx="0">
                  <c:v>3201.47</c:v>
                </c:pt>
              </c:numCache>
            </c:numRef>
          </c:val>
          <c:extLst>
            <c:ext xmlns:c16="http://schemas.microsoft.com/office/drawing/2014/chart" uri="{C3380CC4-5D6E-409C-BE32-E72D297353CC}">
              <c16:uniqueId val="{00000007-2ADF-4379-B5D9-E0E37A18A1BA}"/>
            </c:ext>
          </c:extLst>
        </c:ser>
        <c:ser>
          <c:idx val="8"/>
          <c:order val="8"/>
          <c:tx>
            <c:strRef>
              <c:f>Quarters!$K$3</c:f>
              <c:strCache>
                <c:ptCount val="1"/>
                <c:pt idx="0">
                  <c:v>Sep-25</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Quarters!$B$5</c:f>
              <c:strCache>
                <c:ptCount val="1"/>
                <c:pt idx="0">
                  <c:v>Expenses</c:v>
                </c:pt>
              </c:strCache>
            </c:strRef>
          </c:cat>
          <c:val>
            <c:numRef>
              <c:f>Quarters!$K$5</c:f>
              <c:numCache>
                <c:formatCode>#,##0</c:formatCode>
                <c:ptCount val="1"/>
                <c:pt idx="0">
                  <c:v>4089.92</c:v>
                </c:pt>
              </c:numCache>
            </c:numRef>
          </c:val>
          <c:extLst>
            <c:ext xmlns:c16="http://schemas.microsoft.com/office/drawing/2014/chart" uri="{C3380CC4-5D6E-409C-BE32-E72D297353CC}">
              <c16:uniqueId val="{00000008-2ADF-4379-B5D9-E0E37A18A1BA}"/>
            </c:ext>
          </c:extLst>
        </c:ser>
        <c:ser>
          <c:idx val="9"/>
          <c:order val="9"/>
          <c:tx>
            <c:strRef>
              <c:f>Quarters!$L$3</c:f>
              <c:strCache>
                <c:ptCount val="1"/>
                <c:pt idx="0">
                  <c:v>Dec-25</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Quarters!$B$5</c:f>
              <c:strCache>
                <c:ptCount val="1"/>
                <c:pt idx="0">
                  <c:v>Expenses</c:v>
                </c:pt>
              </c:strCache>
            </c:strRef>
          </c:cat>
          <c:val>
            <c:numRef>
              <c:f>Quarters!$L$5</c:f>
              <c:numCache>
                <c:formatCode>#,##0</c:formatCode>
                <c:ptCount val="1"/>
                <c:pt idx="0">
                  <c:v>5026.6099999999997</c:v>
                </c:pt>
              </c:numCache>
            </c:numRef>
          </c:val>
          <c:extLst>
            <c:ext xmlns:c16="http://schemas.microsoft.com/office/drawing/2014/chart" uri="{C3380CC4-5D6E-409C-BE32-E72D297353CC}">
              <c16:uniqueId val="{00000009-2ADF-4379-B5D9-E0E37A18A1BA}"/>
            </c:ext>
          </c:extLst>
        </c:ser>
        <c:dLbls>
          <c:showLegendKey val="0"/>
          <c:showVal val="0"/>
          <c:showCatName val="0"/>
          <c:showSerName val="0"/>
          <c:showPercent val="0"/>
          <c:showBubbleSize val="0"/>
        </c:dLbls>
        <c:gapWidth val="315"/>
        <c:overlap val="-40"/>
        <c:axId val="1213327568"/>
        <c:axId val="1213330064"/>
      </c:barChart>
      <c:catAx>
        <c:axId val="12133275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3330064"/>
        <c:crosses val="autoZero"/>
        <c:auto val="1"/>
        <c:lblAlgn val="ctr"/>
        <c:lblOffset val="100"/>
        <c:noMultiLvlLbl val="0"/>
      </c:catAx>
      <c:valAx>
        <c:axId val="12133300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3327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Depreciation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Quarters!$C$3</c:f>
              <c:strCache>
                <c:ptCount val="1"/>
                <c:pt idx="0">
                  <c:v>Sep-23</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Quarters!$B$8</c:f>
              <c:strCache>
                <c:ptCount val="1"/>
                <c:pt idx="0">
                  <c:v>Depreciation</c:v>
                </c:pt>
              </c:strCache>
            </c:strRef>
          </c:cat>
          <c:val>
            <c:numRef>
              <c:f>Quarters!$C$8</c:f>
              <c:numCache>
                <c:formatCode>General</c:formatCode>
                <c:ptCount val="1"/>
                <c:pt idx="0">
                  <c:v>108.26</c:v>
                </c:pt>
              </c:numCache>
            </c:numRef>
          </c:val>
          <c:extLst>
            <c:ext xmlns:c16="http://schemas.microsoft.com/office/drawing/2014/chart" uri="{C3380CC4-5D6E-409C-BE32-E72D297353CC}">
              <c16:uniqueId val="{00000000-DFFA-48C5-9E4E-966A3C6B9EB7}"/>
            </c:ext>
          </c:extLst>
        </c:ser>
        <c:ser>
          <c:idx val="1"/>
          <c:order val="1"/>
          <c:tx>
            <c:strRef>
              <c:f>Quarters!$D$3</c:f>
              <c:strCache>
                <c:ptCount val="1"/>
                <c:pt idx="0">
                  <c:v>Dec-23</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Quarters!$B$8</c:f>
              <c:strCache>
                <c:ptCount val="1"/>
                <c:pt idx="0">
                  <c:v>Depreciation</c:v>
                </c:pt>
              </c:strCache>
            </c:strRef>
          </c:cat>
          <c:val>
            <c:numRef>
              <c:f>Quarters!$D$8</c:f>
              <c:numCache>
                <c:formatCode>General</c:formatCode>
                <c:ptCount val="1"/>
                <c:pt idx="0">
                  <c:v>107.46</c:v>
                </c:pt>
              </c:numCache>
            </c:numRef>
          </c:val>
          <c:extLst>
            <c:ext xmlns:c16="http://schemas.microsoft.com/office/drawing/2014/chart" uri="{C3380CC4-5D6E-409C-BE32-E72D297353CC}">
              <c16:uniqueId val="{00000001-DFFA-48C5-9E4E-966A3C6B9EB7}"/>
            </c:ext>
          </c:extLst>
        </c:ser>
        <c:ser>
          <c:idx val="2"/>
          <c:order val="2"/>
          <c:tx>
            <c:strRef>
              <c:f>Quarters!$E$3</c:f>
              <c:strCache>
                <c:ptCount val="1"/>
                <c:pt idx="0">
                  <c:v>Mar-24</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Quarters!$B$8</c:f>
              <c:strCache>
                <c:ptCount val="1"/>
                <c:pt idx="0">
                  <c:v>Depreciation</c:v>
                </c:pt>
              </c:strCache>
            </c:strRef>
          </c:cat>
          <c:val>
            <c:numRef>
              <c:f>Quarters!$E$8</c:f>
              <c:numCache>
                <c:formatCode>General</c:formatCode>
                <c:ptCount val="1"/>
                <c:pt idx="0">
                  <c:v>118.54</c:v>
                </c:pt>
              </c:numCache>
            </c:numRef>
          </c:val>
          <c:extLst>
            <c:ext xmlns:c16="http://schemas.microsoft.com/office/drawing/2014/chart" uri="{C3380CC4-5D6E-409C-BE32-E72D297353CC}">
              <c16:uniqueId val="{00000002-DFFA-48C5-9E4E-966A3C6B9EB7}"/>
            </c:ext>
          </c:extLst>
        </c:ser>
        <c:ser>
          <c:idx val="3"/>
          <c:order val="3"/>
          <c:tx>
            <c:strRef>
              <c:f>Quarters!$F$3</c:f>
              <c:strCache>
                <c:ptCount val="1"/>
                <c:pt idx="0">
                  <c:v>Jun-24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Quarters!$B$8</c:f>
              <c:strCache>
                <c:ptCount val="1"/>
                <c:pt idx="0">
                  <c:v>Depreciation</c:v>
                </c:pt>
              </c:strCache>
            </c:strRef>
          </c:cat>
          <c:val>
            <c:numRef>
              <c:f>Quarters!$F$8</c:f>
              <c:numCache>
                <c:formatCode>General</c:formatCode>
                <c:ptCount val="1"/>
                <c:pt idx="0">
                  <c:v>107.68</c:v>
                </c:pt>
              </c:numCache>
            </c:numRef>
          </c:val>
          <c:extLst>
            <c:ext xmlns:c16="http://schemas.microsoft.com/office/drawing/2014/chart" uri="{C3380CC4-5D6E-409C-BE32-E72D297353CC}">
              <c16:uniqueId val="{00000003-DFFA-48C5-9E4E-966A3C6B9EB7}"/>
            </c:ext>
          </c:extLst>
        </c:ser>
        <c:ser>
          <c:idx val="4"/>
          <c:order val="4"/>
          <c:tx>
            <c:strRef>
              <c:f>Quarters!$G$3</c:f>
              <c:strCache>
                <c:ptCount val="1"/>
                <c:pt idx="0">
                  <c:v>Sep-24</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Quarters!$B$8</c:f>
              <c:strCache>
                <c:ptCount val="1"/>
                <c:pt idx="0">
                  <c:v>Depreciation</c:v>
                </c:pt>
              </c:strCache>
            </c:strRef>
          </c:cat>
          <c:val>
            <c:numRef>
              <c:f>Quarters!$G$8</c:f>
              <c:numCache>
                <c:formatCode>General</c:formatCode>
                <c:ptCount val="1"/>
                <c:pt idx="0">
                  <c:v>111.19</c:v>
                </c:pt>
              </c:numCache>
            </c:numRef>
          </c:val>
          <c:extLst>
            <c:ext xmlns:c16="http://schemas.microsoft.com/office/drawing/2014/chart" uri="{C3380CC4-5D6E-409C-BE32-E72D297353CC}">
              <c16:uniqueId val="{00000004-DFFA-48C5-9E4E-966A3C6B9EB7}"/>
            </c:ext>
          </c:extLst>
        </c:ser>
        <c:ser>
          <c:idx val="5"/>
          <c:order val="5"/>
          <c:tx>
            <c:strRef>
              <c:f>Quarters!$H$3</c:f>
              <c:strCache>
                <c:ptCount val="1"/>
                <c:pt idx="0">
                  <c:v>Dec-24</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Quarters!$B$8</c:f>
              <c:strCache>
                <c:ptCount val="1"/>
                <c:pt idx="0">
                  <c:v>Depreciation</c:v>
                </c:pt>
              </c:strCache>
            </c:strRef>
          </c:cat>
          <c:val>
            <c:numRef>
              <c:f>Quarters!$H$8</c:f>
              <c:numCache>
                <c:formatCode>General</c:formatCode>
                <c:ptCount val="1"/>
                <c:pt idx="0">
                  <c:v>110.93</c:v>
                </c:pt>
              </c:numCache>
            </c:numRef>
          </c:val>
          <c:extLst>
            <c:ext xmlns:c16="http://schemas.microsoft.com/office/drawing/2014/chart" uri="{C3380CC4-5D6E-409C-BE32-E72D297353CC}">
              <c16:uniqueId val="{00000005-DFFA-48C5-9E4E-966A3C6B9EB7}"/>
            </c:ext>
          </c:extLst>
        </c:ser>
        <c:ser>
          <c:idx val="6"/>
          <c:order val="6"/>
          <c:tx>
            <c:strRef>
              <c:f>Quarters!$I$3</c:f>
              <c:strCache>
                <c:ptCount val="1"/>
                <c:pt idx="0">
                  <c:v>Mar-25</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Quarters!$B$8</c:f>
              <c:strCache>
                <c:ptCount val="1"/>
                <c:pt idx="0">
                  <c:v>Depreciation</c:v>
                </c:pt>
              </c:strCache>
            </c:strRef>
          </c:cat>
          <c:val>
            <c:numRef>
              <c:f>Quarters!$I$8</c:f>
              <c:numCache>
                <c:formatCode>General</c:formatCode>
                <c:ptCount val="1"/>
                <c:pt idx="0">
                  <c:v>137.58000000000001</c:v>
                </c:pt>
              </c:numCache>
            </c:numRef>
          </c:val>
          <c:extLst>
            <c:ext xmlns:c16="http://schemas.microsoft.com/office/drawing/2014/chart" uri="{C3380CC4-5D6E-409C-BE32-E72D297353CC}">
              <c16:uniqueId val="{00000006-DFFA-48C5-9E4E-966A3C6B9EB7}"/>
            </c:ext>
          </c:extLst>
        </c:ser>
        <c:ser>
          <c:idx val="7"/>
          <c:order val="7"/>
          <c:tx>
            <c:strRef>
              <c:f>Quarters!$J$3</c:f>
              <c:strCache>
                <c:ptCount val="1"/>
                <c:pt idx="0">
                  <c:v>Jun-25</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Quarters!$B$8</c:f>
              <c:strCache>
                <c:ptCount val="1"/>
                <c:pt idx="0">
                  <c:v>Depreciation</c:v>
                </c:pt>
              </c:strCache>
            </c:strRef>
          </c:cat>
          <c:val>
            <c:numRef>
              <c:f>Quarters!$J$8</c:f>
              <c:numCache>
                <c:formatCode>General</c:formatCode>
                <c:ptCount val="1"/>
                <c:pt idx="0">
                  <c:v>120.79</c:v>
                </c:pt>
              </c:numCache>
            </c:numRef>
          </c:val>
          <c:extLst>
            <c:ext xmlns:c16="http://schemas.microsoft.com/office/drawing/2014/chart" uri="{C3380CC4-5D6E-409C-BE32-E72D297353CC}">
              <c16:uniqueId val="{00000007-DFFA-48C5-9E4E-966A3C6B9EB7}"/>
            </c:ext>
          </c:extLst>
        </c:ser>
        <c:ser>
          <c:idx val="8"/>
          <c:order val="8"/>
          <c:tx>
            <c:strRef>
              <c:f>Quarters!$K$3</c:f>
              <c:strCache>
                <c:ptCount val="1"/>
                <c:pt idx="0">
                  <c:v>Sep-25</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Quarters!$B$8</c:f>
              <c:strCache>
                <c:ptCount val="1"/>
                <c:pt idx="0">
                  <c:v>Depreciation</c:v>
                </c:pt>
              </c:strCache>
            </c:strRef>
          </c:cat>
          <c:val>
            <c:numRef>
              <c:f>Quarters!$K$8</c:f>
              <c:numCache>
                <c:formatCode>General</c:formatCode>
                <c:ptCount val="1"/>
                <c:pt idx="0">
                  <c:v>126.49</c:v>
                </c:pt>
              </c:numCache>
            </c:numRef>
          </c:val>
          <c:extLst>
            <c:ext xmlns:c16="http://schemas.microsoft.com/office/drawing/2014/chart" uri="{C3380CC4-5D6E-409C-BE32-E72D297353CC}">
              <c16:uniqueId val="{00000008-DFFA-48C5-9E4E-966A3C6B9EB7}"/>
            </c:ext>
          </c:extLst>
        </c:ser>
        <c:ser>
          <c:idx val="9"/>
          <c:order val="9"/>
          <c:tx>
            <c:strRef>
              <c:f>Quarters!$L$3</c:f>
              <c:strCache>
                <c:ptCount val="1"/>
                <c:pt idx="0">
                  <c:v>Dec-25</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Quarters!$B$8</c:f>
              <c:strCache>
                <c:ptCount val="1"/>
                <c:pt idx="0">
                  <c:v>Depreciation</c:v>
                </c:pt>
              </c:strCache>
            </c:strRef>
          </c:cat>
          <c:val>
            <c:numRef>
              <c:f>Quarters!$L$8</c:f>
              <c:numCache>
                <c:formatCode>General</c:formatCode>
                <c:ptCount val="1"/>
                <c:pt idx="0">
                  <c:v>135.44</c:v>
                </c:pt>
              </c:numCache>
            </c:numRef>
          </c:val>
          <c:extLst>
            <c:ext xmlns:c16="http://schemas.microsoft.com/office/drawing/2014/chart" uri="{C3380CC4-5D6E-409C-BE32-E72D297353CC}">
              <c16:uniqueId val="{00000009-DFFA-48C5-9E4E-966A3C6B9EB7}"/>
            </c:ext>
          </c:extLst>
        </c:ser>
        <c:dLbls>
          <c:showLegendKey val="0"/>
          <c:showVal val="0"/>
          <c:showCatName val="0"/>
          <c:showSerName val="0"/>
          <c:showPercent val="0"/>
          <c:showBubbleSize val="0"/>
        </c:dLbls>
        <c:gapWidth val="182"/>
        <c:overlap val="-50"/>
        <c:axId val="1127761936"/>
        <c:axId val="1127763184"/>
      </c:barChart>
      <c:catAx>
        <c:axId val="112776193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7763184"/>
        <c:crosses val="autoZero"/>
        <c:auto val="1"/>
        <c:lblAlgn val="ctr"/>
        <c:lblOffset val="100"/>
        <c:noMultiLvlLbl val="0"/>
      </c:catAx>
      <c:valAx>
        <c:axId val="112776318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77619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Quarters!$B$11</c:f>
              <c:strCache>
                <c:ptCount val="1"/>
                <c:pt idx="0">
                  <c:v>Tax</c:v>
                </c:pt>
              </c:strCache>
            </c:strRef>
          </c:tx>
          <c:dPt>
            <c:idx val="0"/>
            <c:bubble3D val="0"/>
            <c:spPr>
              <a:solidFill>
                <a:schemeClr val="accent1"/>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1-2E27-4810-A0D7-9C5E616F28F8}"/>
              </c:ext>
            </c:extLst>
          </c:dPt>
          <c:dPt>
            <c:idx val="1"/>
            <c:bubble3D val="0"/>
            <c:spPr>
              <a:solidFill>
                <a:schemeClr val="accent2"/>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3-2E27-4810-A0D7-9C5E616F28F8}"/>
              </c:ext>
            </c:extLst>
          </c:dPt>
          <c:dPt>
            <c:idx val="2"/>
            <c:bubble3D val="0"/>
            <c:spPr>
              <a:solidFill>
                <a:schemeClr val="accent3"/>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5-2E27-4810-A0D7-9C5E616F28F8}"/>
              </c:ext>
            </c:extLst>
          </c:dPt>
          <c:dPt>
            <c:idx val="3"/>
            <c:bubble3D val="0"/>
            <c:spPr>
              <a:solidFill>
                <a:schemeClr val="accent4"/>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7-2E27-4810-A0D7-9C5E616F28F8}"/>
              </c:ext>
            </c:extLst>
          </c:dPt>
          <c:dPt>
            <c:idx val="4"/>
            <c:bubble3D val="0"/>
            <c:spPr>
              <a:solidFill>
                <a:schemeClr val="accent5"/>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9-2E27-4810-A0D7-9C5E616F28F8}"/>
              </c:ext>
            </c:extLst>
          </c:dPt>
          <c:dPt>
            <c:idx val="5"/>
            <c:bubble3D val="0"/>
            <c:spPr>
              <a:solidFill>
                <a:schemeClr val="accent6"/>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B-2E27-4810-A0D7-9C5E616F28F8}"/>
              </c:ext>
            </c:extLst>
          </c:dPt>
          <c:dPt>
            <c:idx val="6"/>
            <c:bubble3D val="0"/>
            <c:spPr>
              <a:solidFill>
                <a:schemeClr val="accent1">
                  <a:lumMod val="60000"/>
                </a:schemeClr>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D-2E27-4810-A0D7-9C5E616F28F8}"/>
              </c:ext>
            </c:extLst>
          </c:dPt>
          <c:dPt>
            <c:idx val="7"/>
            <c:bubble3D val="0"/>
            <c:spPr>
              <a:solidFill>
                <a:schemeClr val="accent2">
                  <a:lumMod val="60000"/>
                </a:schemeClr>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0F-2E27-4810-A0D7-9C5E616F28F8}"/>
              </c:ext>
            </c:extLst>
          </c:dPt>
          <c:dPt>
            <c:idx val="8"/>
            <c:bubble3D val="0"/>
            <c:spPr>
              <a:solidFill>
                <a:schemeClr val="accent3">
                  <a:lumMod val="60000"/>
                </a:schemeClr>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11-2E27-4810-A0D7-9C5E616F28F8}"/>
              </c:ext>
            </c:extLst>
          </c:dPt>
          <c:dPt>
            <c:idx val="9"/>
            <c:bubble3D val="0"/>
            <c:spPr>
              <a:solidFill>
                <a:schemeClr val="accent4">
                  <a:lumMod val="60000"/>
                </a:schemeClr>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extLst>
              <c:ext xmlns:c16="http://schemas.microsoft.com/office/drawing/2014/chart" uri="{C3380CC4-5D6E-409C-BE32-E72D297353CC}">
                <c16:uniqueId val="{00000013-2E27-4810-A0D7-9C5E616F28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numRef>
              <c:f>Quarters!$C$3:$L$3</c:f>
              <c:numCache>
                <c:formatCode>mmm\-yy</c:formatCode>
                <c:ptCount val="10"/>
                <c:pt idx="0">
                  <c:v>45199</c:v>
                </c:pt>
                <c:pt idx="1">
                  <c:v>45291</c:v>
                </c:pt>
                <c:pt idx="2">
                  <c:v>45382</c:v>
                </c:pt>
                <c:pt idx="3">
                  <c:v>45473</c:v>
                </c:pt>
                <c:pt idx="4">
                  <c:v>45565</c:v>
                </c:pt>
                <c:pt idx="5">
                  <c:v>45657</c:v>
                </c:pt>
                <c:pt idx="6">
                  <c:v>45747</c:v>
                </c:pt>
                <c:pt idx="7">
                  <c:v>45838</c:v>
                </c:pt>
                <c:pt idx="8">
                  <c:v>45930</c:v>
                </c:pt>
                <c:pt idx="9">
                  <c:v>46022</c:v>
                </c:pt>
              </c:numCache>
            </c:numRef>
          </c:cat>
          <c:val>
            <c:numRef>
              <c:f>Quarters!$C$11:$L$11</c:f>
              <c:numCache>
                <c:formatCode>#,##0</c:formatCode>
                <c:ptCount val="10"/>
                <c:pt idx="0" formatCode="General">
                  <c:v>260.73</c:v>
                </c:pt>
                <c:pt idx="1">
                  <c:v>283.83</c:v>
                </c:pt>
                <c:pt idx="2">
                  <c:v>604.41</c:v>
                </c:pt>
                <c:pt idx="3">
                  <c:v>261.93</c:v>
                </c:pt>
                <c:pt idx="4" formatCode="General">
                  <c:v>361.32</c:v>
                </c:pt>
                <c:pt idx="5">
                  <c:v>442.35</c:v>
                </c:pt>
                <c:pt idx="6">
                  <c:v>746.25</c:v>
                </c:pt>
                <c:pt idx="7">
                  <c:v>318.69</c:v>
                </c:pt>
                <c:pt idx="8">
                  <c:v>449.53</c:v>
                </c:pt>
                <c:pt idx="9">
                  <c:v>558.12</c:v>
                </c:pt>
              </c:numCache>
            </c:numRef>
          </c:val>
          <c:extLst>
            <c:ext xmlns:c16="http://schemas.microsoft.com/office/drawing/2014/chart" uri="{C3380CC4-5D6E-409C-BE32-E72D297353CC}">
              <c16:uniqueId val="{00000000-3F03-4410-B952-B356F672A018}"/>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348343</xdr:colOff>
      <xdr:row>4</xdr:row>
      <xdr:rowOff>32657</xdr:rowOff>
    </xdr:from>
    <xdr:to>
      <xdr:col>14</xdr:col>
      <xdr:colOff>544286</xdr:colOff>
      <xdr:row>12</xdr:row>
      <xdr:rowOff>65314</xdr:rowOff>
    </xdr:to>
    <xdr:pic>
      <xdr:nvPicPr>
        <xdr:cNvPr id="3" name="Picture 2">
          <a:extLst>
            <a:ext uri="{FF2B5EF4-FFF2-40B4-BE49-F238E27FC236}">
              <a16:creationId xmlns:a16="http://schemas.microsoft.com/office/drawing/2014/main" id="{635DE57C-E77A-46F8-AF89-13B7E309102C}"/>
            </a:ext>
          </a:extLst>
        </xdr:cNvPr>
        <xdr:cNvPicPr>
          <a:picLocks noChangeAspect="1"/>
        </xdr:cNvPicPr>
      </xdr:nvPicPr>
      <xdr:blipFill>
        <a:blip xmlns:r="http://schemas.openxmlformats.org/officeDocument/2006/relationships" r:embed="rId1"/>
        <a:stretch>
          <a:fillRect/>
        </a:stretch>
      </xdr:blipFill>
      <xdr:spPr>
        <a:xfrm>
          <a:off x="5747657" y="1404257"/>
          <a:ext cx="9372600" cy="4789714"/>
        </a:xfrm>
        <a:prstGeom prst="rect">
          <a:avLst/>
        </a:prstGeom>
      </xdr:spPr>
    </xdr:pic>
    <xdr:clientData/>
  </xdr:twoCellAnchor>
  <xdr:twoCellAnchor editAs="oneCell">
    <xdr:from>
      <xdr:col>0</xdr:col>
      <xdr:colOff>146242</xdr:colOff>
      <xdr:row>0</xdr:row>
      <xdr:rowOff>7698</xdr:rowOff>
    </xdr:from>
    <xdr:to>
      <xdr:col>1</xdr:col>
      <xdr:colOff>1682777</xdr:colOff>
      <xdr:row>0</xdr:row>
      <xdr:rowOff>800372</xdr:rowOff>
    </xdr:to>
    <xdr:pic>
      <xdr:nvPicPr>
        <xdr:cNvPr id="5" name="Picture 4" descr="BEL Stock Price and Chart — NSE:BEL — TradingView — India">
          <a:extLst>
            <a:ext uri="{FF2B5EF4-FFF2-40B4-BE49-F238E27FC236}">
              <a16:creationId xmlns:a16="http://schemas.microsoft.com/office/drawing/2014/main" id="{DEC4EA1B-B27E-462F-A44E-F15760090D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6242" y="7698"/>
          <a:ext cx="1698171" cy="792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7621</xdr:colOff>
      <xdr:row>0</xdr:row>
      <xdr:rowOff>30480</xdr:rowOff>
    </xdr:from>
    <xdr:to>
      <xdr:col>3</xdr:col>
      <xdr:colOff>350521</xdr:colOff>
      <xdr:row>0</xdr:row>
      <xdr:rowOff>759639</xdr:rowOff>
    </xdr:to>
    <xdr:pic>
      <xdr:nvPicPr>
        <xdr:cNvPr id="5" name="Picture 4" descr="BEL Stock Price and Chart — NSE:BEL — TradingView — India">
          <a:extLst>
            <a:ext uri="{FF2B5EF4-FFF2-40B4-BE49-F238E27FC236}">
              <a16:creationId xmlns:a16="http://schemas.microsoft.com/office/drawing/2014/main" id="{A43321E2-86D7-4BE1-8021-80E2A31173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1" y="30480"/>
          <a:ext cx="1562100" cy="729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0</xdr:row>
      <xdr:rowOff>22860</xdr:rowOff>
    </xdr:from>
    <xdr:to>
      <xdr:col>3</xdr:col>
      <xdr:colOff>419101</xdr:colOff>
      <xdr:row>0</xdr:row>
      <xdr:rowOff>787587</xdr:rowOff>
    </xdr:to>
    <xdr:pic>
      <xdr:nvPicPr>
        <xdr:cNvPr id="3" name="Picture 2" descr="BEL Stock Price and Chart — NSE:BEL — TradingView — India">
          <a:extLst>
            <a:ext uri="{FF2B5EF4-FFF2-40B4-BE49-F238E27FC236}">
              <a16:creationId xmlns:a16="http://schemas.microsoft.com/office/drawing/2014/main" id="{36F9A119-1D5F-49C5-8EFE-61B6D6A8F4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021" y="22860"/>
          <a:ext cx="1638300" cy="764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0</xdr:row>
      <xdr:rowOff>45720</xdr:rowOff>
    </xdr:from>
    <xdr:to>
      <xdr:col>1</xdr:col>
      <xdr:colOff>1478281</xdr:colOff>
      <xdr:row>0</xdr:row>
      <xdr:rowOff>735753</xdr:rowOff>
    </xdr:to>
    <xdr:pic>
      <xdr:nvPicPr>
        <xdr:cNvPr id="3" name="Picture 2" descr="BEL Stock Price and Chart — NSE:BEL — TradingView — India">
          <a:extLst>
            <a:ext uri="{FF2B5EF4-FFF2-40B4-BE49-F238E27FC236}">
              <a16:creationId xmlns:a16="http://schemas.microsoft.com/office/drawing/2014/main" id="{4094F2A4-0F85-405E-A3D0-A26CD9BA75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021" y="4572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13</xdr:row>
      <xdr:rowOff>11430</xdr:rowOff>
    </xdr:from>
    <xdr:to>
      <xdr:col>5</xdr:col>
      <xdr:colOff>22860</xdr:colOff>
      <xdr:row>28</xdr:row>
      <xdr:rowOff>11430</xdr:rowOff>
    </xdr:to>
    <xdr:graphicFrame macro="">
      <xdr:nvGraphicFramePr>
        <xdr:cNvPr id="5" name="Chart 4">
          <a:extLst>
            <a:ext uri="{FF2B5EF4-FFF2-40B4-BE49-F238E27FC236}">
              <a16:creationId xmlns:a16="http://schemas.microsoft.com/office/drawing/2014/main" id="{17DCA40F-501D-48AF-9232-DDD494F08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22860</xdr:colOff>
      <xdr:row>0</xdr:row>
      <xdr:rowOff>60960</xdr:rowOff>
    </xdr:from>
    <xdr:to>
      <xdr:col>1</xdr:col>
      <xdr:colOff>1501140</xdr:colOff>
      <xdr:row>0</xdr:row>
      <xdr:rowOff>750993</xdr:rowOff>
    </xdr:to>
    <xdr:pic>
      <xdr:nvPicPr>
        <xdr:cNvPr id="6" name="Picture 5" descr="BEL Stock Price and Chart — NSE:BEL — TradingView — India">
          <a:extLst>
            <a:ext uri="{FF2B5EF4-FFF2-40B4-BE49-F238E27FC236}">
              <a16:creationId xmlns:a16="http://schemas.microsoft.com/office/drawing/2014/main" id="{B4C1AD1F-E948-489E-AF65-10107A0DC8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 y="6096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xdr:colOff>
      <xdr:row>0</xdr:row>
      <xdr:rowOff>53340</xdr:rowOff>
    </xdr:from>
    <xdr:to>
      <xdr:col>2</xdr:col>
      <xdr:colOff>777240</xdr:colOff>
      <xdr:row>0</xdr:row>
      <xdr:rowOff>743373</xdr:rowOff>
    </xdr:to>
    <xdr:pic>
      <xdr:nvPicPr>
        <xdr:cNvPr id="3" name="Picture 2" descr="BEL Stock Price and Chart — NSE:BEL — TradingView — India">
          <a:extLst>
            <a:ext uri="{FF2B5EF4-FFF2-40B4-BE49-F238E27FC236}">
              <a16:creationId xmlns:a16="http://schemas.microsoft.com/office/drawing/2014/main" id="{96267F42-5136-45B5-A8BF-F92C81E14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 y="5334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144780</xdr:colOff>
      <xdr:row>0</xdr:row>
      <xdr:rowOff>45720</xdr:rowOff>
    </xdr:from>
    <xdr:to>
      <xdr:col>2</xdr:col>
      <xdr:colOff>754380</xdr:colOff>
      <xdr:row>0</xdr:row>
      <xdr:rowOff>735753</xdr:rowOff>
    </xdr:to>
    <xdr:pic>
      <xdr:nvPicPr>
        <xdr:cNvPr id="4" name="Picture 3" descr="BEL Stock Price and Chart — NSE:BEL — TradingView — India">
          <a:extLst>
            <a:ext uri="{FF2B5EF4-FFF2-40B4-BE49-F238E27FC236}">
              <a16:creationId xmlns:a16="http://schemas.microsoft.com/office/drawing/2014/main" id="{41EE5A3F-2808-43F0-8B83-D90DCCB59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780" y="4572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99060</xdr:colOff>
      <xdr:row>0</xdr:row>
      <xdr:rowOff>60960</xdr:rowOff>
    </xdr:from>
    <xdr:to>
      <xdr:col>1</xdr:col>
      <xdr:colOff>1417320</xdr:colOff>
      <xdr:row>0</xdr:row>
      <xdr:rowOff>750993</xdr:rowOff>
    </xdr:to>
    <xdr:pic>
      <xdr:nvPicPr>
        <xdr:cNvPr id="3" name="Picture 2" descr="BEL Stock Price and Chart — NSE:BEL — TradingView — India">
          <a:extLst>
            <a:ext uri="{FF2B5EF4-FFF2-40B4-BE49-F238E27FC236}">
              <a16:creationId xmlns:a16="http://schemas.microsoft.com/office/drawing/2014/main" id="{438DE622-EDD5-4016-985A-39394773F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6096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60960</xdr:colOff>
      <xdr:row>0</xdr:row>
      <xdr:rowOff>60960</xdr:rowOff>
    </xdr:from>
    <xdr:to>
      <xdr:col>1</xdr:col>
      <xdr:colOff>1379220</xdr:colOff>
      <xdr:row>0</xdr:row>
      <xdr:rowOff>750993</xdr:rowOff>
    </xdr:to>
    <xdr:pic>
      <xdr:nvPicPr>
        <xdr:cNvPr id="3" name="Picture 2" descr="BEL Stock Price and Chart — NSE:BEL — TradingView — India">
          <a:extLst>
            <a:ext uri="{FF2B5EF4-FFF2-40B4-BE49-F238E27FC236}">
              <a16:creationId xmlns:a16="http://schemas.microsoft.com/office/drawing/2014/main" id="{198EDE7C-2105-456A-8A36-EB9ADFA491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6096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137160</xdr:colOff>
      <xdr:row>0</xdr:row>
      <xdr:rowOff>68580</xdr:rowOff>
    </xdr:from>
    <xdr:to>
      <xdr:col>1</xdr:col>
      <xdr:colOff>1455420</xdr:colOff>
      <xdr:row>0</xdr:row>
      <xdr:rowOff>758613</xdr:rowOff>
    </xdr:to>
    <xdr:pic>
      <xdr:nvPicPr>
        <xdr:cNvPr id="3" name="Picture 2" descr="BEL Stock Price and Chart — NSE:BEL — TradingView — India">
          <a:extLst>
            <a:ext uri="{FF2B5EF4-FFF2-40B4-BE49-F238E27FC236}">
              <a16:creationId xmlns:a16="http://schemas.microsoft.com/office/drawing/2014/main" id="{28D2A48F-DE62-4067-BAD7-FAFB437A9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 y="6858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152400</xdr:colOff>
      <xdr:row>0</xdr:row>
      <xdr:rowOff>53340</xdr:rowOff>
    </xdr:from>
    <xdr:to>
      <xdr:col>1</xdr:col>
      <xdr:colOff>1470660</xdr:colOff>
      <xdr:row>0</xdr:row>
      <xdr:rowOff>743373</xdr:rowOff>
    </xdr:to>
    <xdr:pic>
      <xdr:nvPicPr>
        <xdr:cNvPr id="3" name="Picture 2" descr="BEL Stock Price and Chart — NSE:BEL — TradingView — India">
          <a:extLst>
            <a:ext uri="{FF2B5EF4-FFF2-40B4-BE49-F238E27FC236}">
              <a16:creationId xmlns:a16="http://schemas.microsoft.com/office/drawing/2014/main" id="{551B8314-6FE2-470B-9D6D-E458181CA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5334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0</xdr:row>
      <xdr:rowOff>38100</xdr:rowOff>
    </xdr:from>
    <xdr:to>
      <xdr:col>1</xdr:col>
      <xdr:colOff>1394460</xdr:colOff>
      <xdr:row>0</xdr:row>
      <xdr:rowOff>728133</xdr:rowOff>
    </xdr:to>
    <xdr:pic>
      <xdr:nvPicPr>
        <xdr:cNvPr id="3" name="Picture 2" descr="BEL Stock Price and Chart — NSE:BEL — TradingView — India">
          <a:extLst>
            <a:ext uri="{FF2B5EF4-FFF2-40B4-BE49-F238E27FC236}">
              <a16:creationId xmlns:a16="http://schemas.microsoft.com/office/drawing/2014/main" id="{3FB96B6E-AE88-4B23-B389-2AC4D0326D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3810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163918</xdr:colOff>
      <xdr:row>1</xdr:row>
      <xdr:rowOff>170122</xdr:rowOff>
    </xdr:from>
    <xdr:to>
      <xdr:col>19</xdr:col>
      <xdr:colOff>274674</xdr:colOff>
      <xdr:row>13</xdr:row>
      <xdr:rowOff>194930</xdr:rowOff>
    </xdr:to>
    <xdr:graphicFrame macro="">
      <xdr:nvGraphicFramePr>
        <xdr:cNvPr id="5" name="Chart 4">
          <a:extLst>
            <a:ext uri="{FF2B5EF4-FFF2-40B4-BE49-F238E27FC236}">
              <a16:creationId xmlns:a16="http://schemas.microsoft.com/office/drawing/2014/main" id="{097BE1D8-B4B0-47EB-8FD1-740EDB582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110756</xdr:colOff>
      <xdr:row>14</xdr:row>
      <xdr:rowOff>161261</xdr:rowOff>
    </xdr:from>
    <xdr:to>
      <xdr:col>4</xdr:col>
      <xdr:colOff>186069</xdr:colOff>
      <xdr:row>25</xdr:row>
      <xdr:rowOff>168349</xdr:rowOff>
    </xdr:to>
    <xdr:graphicFrame macro="">
      <xdr:nvGraphicFramePr>
        <xdr:cNvPr id="6" name="Chart 5">
          <a:extLst>
            <a:ext uri="{FF2B5EF4-FFF2-40B4-BE49-F238E27FC236}">
              <a16:creationId xmlns:a16="http://schemas.microsoft.com/office/drawing/2014/main" id="{679784F3-6AE3-4729-92D6-7A9444A07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297180</xdr:colOff>
      <xdr:row>14</xdr:row>
      <xdr:rowOff>170121</xdr:rowOff>
    </xdr:from>
    <xdr:to>
      <xdr:col>8</xdr:col>
      <xdr:colOff>302675</xdr:colOff>
      <xdr:row>25</xdr:row>
      <xdr:rowOff>177210</xdr:rowOff>
    </xdr:to>
    <xdr:graphicFrame macro="">
      <xdr:nvGraphicFramePr>
        <xdr:cNvPr id="10" name="Chart 9">
          <a:extLst>
            <a:ext uri="{FF2B5EF4-FFF2-40B4-BE49-F238E27FC236}">
              <a16:creationId xmlns:a16="http://schemas.microsoft.com/office/drawing/2014/main" id="{22237272-92C2-4AC2-89A2-153D9853A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394289</xdr:colOff>
      <xdr:row>14</xdr:row>
      <xdr:rowOff>152401</xdr:rowOff>
    </xdr:from>
    <xdr:to>
      <xdr:col>12</xdr:col>
      <xdr:colOff>186069</xdr:colOff>
      <xdr:row>25</xdr:row>
      <xdr:rowOff>177210</xdr:rowOff>
    </xdr:to>
    <xdr:graphicFrame macro="">
      <xdr:nvGraphicFramePr>
        <xdr:cNvPr id="11" name="Chart 10">
          <a:extLst>
            <a:ext uri="{FF2B5EF4-FFF2-40B4-BE49-F238E27FC236}">
              <a16:creationId xmlns:a16="http://schemas.microsoft.com/office/drawing/2014/main" id="{46308597-5D33-48F7-BD0A-CEBC0E100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130224</xdr:colOff>
      <xdr:row>26</xdr:row>
      <xdr:rowOff>75401</xdr:rowOff>
    </xdr:from>
    <xdr:to>
      <xdr:col>6</xdr:col>
      <xdr:colOff>407831</xdr:colOff>
      <xdr:row>39</xdr:row>
      <xdr:rowOff>150253</xdr:rowOff>
    </xdr:to>
    <xdr:graphicFrame macro="">
      <xdr:nvGraphicFramePr>
        <xdr:cNvPr id="12" name="Chart 11">
          <a:extLst>
            <a:ext uri="{FF2B5EF4-FFF2-40B4-BE49-F238E27FC236}">
              <a16:creationId xmlns:a16="http://schemas.microsoft.com/office/drawing/2014/main" id="{17A5C314-C58D-4707-9169-AE62C9DF6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464820</xdr:colOff>
      <xdr:row>26</xdr:row>
      <xdr:rowOff>80010</xdr:rowOff>
    </xdr:from>
    <xdr:to>
      <xdr:col>12</xdr:col>
      <xdr:colOff>251460</xdr:colOff>
      <xdr:row>39</xdr:row>
      <xdr:rowOff>129540</xdr:rowOff>
    </xdr:to>
    <xdr:graphicFrame macro="">
      <xdr:nvGraphicFramePr>
        <xdr:cNvPr id="13" name="Chart 12">
          <a:extLst>
            <a:ext uri="{FF2B5EF4-FFF2-40B4-BE49-F238E27FC236}">
              <a16:creationId xmlns:a16="http://schemas.microsoft.com/office/drawing/2014/main" id="{0E79914E-48E4-4A40-A126-D62B3E707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13295</xdr:colOff>
      <xdr:row>0</xdr:row>
      <xdr:rowOff>59988</xdr:rowOff>
    </xdr:from>
    <xdr:to>
      <xdr:col>1</xdr:col>
      <xdr:colOff>1491575</xdr:colOff>
      <xdr:row>0</xdr:row>
      <xdr:rowOff>750021</xdr:rowOff>
    </xdr:to>
    <xdr:pic>
      <xdr:nvPicPr>
        <xdr:cNvPr id="9" name="Picture 8" descr="BEL Stock Price and Chart — NSE:BEL — TradingView — India">
          <a:extLst>
            <a:ext uri="{FF2B5EF4-FFF2-40B4-BE49-F238E27FC236}">
              <a16:creationId xmlns:a16="http://schemas.microsoft.com/office/drawing/2014/main" id="{C8270CE9-5D33-44FE-8709-4872DCEE426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5423" y="59988"/>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129540</xdr:colOff>
      <xdr:row>0</xdr:row>
      <xdr:rowOff>45720</xdr:rowOff>
    </xdr:from>
    <xdr:to>
      <xdr:col>1</xdr:col>
      <xdr:colOff>1447800</xdr:colOff>
      <xdr:row>0</xdr:row>
      <xdr:rowOff>735753</xdr:rowOff>
    </xdr:to>
    <xdr:pic>
      <xdr:nvPicPr>
        <xdr:cNvPr id="3" name="Picture 2" descr="BEL Stock Price and Chart — NSE:BEL — TradingView — India">
          <a:extLst>
            <a:ext uri="{FF2B5EF4-FFF2-40B4-BE49-F238E27FC236}">
              <a16:creationId xmlns:a16="http://schemas.microsoft.com/office/drawing/2014/main" id="{A74B81E7-642B-42B1-A72D-C69F42466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540" y="45720"/>
          <a:ext cx="1478280" cy="69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PACE\OneDrive\Desktop\Reference%20for%20assessment%20%20-%20HAL%20Mode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historical IS"/>
      <sheetName val="historical BS"/>
      <sheetName val="historical CF"/>
      <sheetName val="beta"/>
      <sheetName val="market data"/>
      <sheetName val="wacc"/>
      <sheetName val="forecasts &amp; support schedules"/>
      <sheetName val="ratio analysis"/>
      <sheetName val="common size"/>
      <sheetName val="dcf valuation &amp; sensitivity"/>
      <sheetName val="comps valuation"/>
      <sheetName val="summary"/>
      <sheetName val="Quarterly financials"/>
      <sheetName val="Valuations"/>
    </sheetNames>
    <sheetDataSet>
      <sheetData sheetId="0"/>
      <sheetData sheetId="1"/>
      <sheetData sheetId="2"/>
      <sheetData sheetId="3"/>
      <sheetData sheetId="4"/>
      <sheetData sheetId="5"/>
      <sheetData sheetId="6"/>
      <sheetData sheetId="7"/>
      <sheetData sheetId="8"/>
      <sheetData sheetId="9"/>
      <sheetData sheetId="10"/>
      <sheetData sheetId="11">
        <row r="11">
          <cell r="G11">
            <v>2029.4</v>
          </cell>
          <cell r="R11">
            <v>5.4069883964204504</v>
          </cell>
        </row>
      </sheetData>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43">
  <tableColumns count="14">
    <tableColumn id="1" xr3:uid="{00000000-0010-0000-0000-000001000000}" name="Column1" headerRowDxfId="42" dataDxfId="41"/>
    <tableColumn id="2" xr3:uid="{00000000-0010-0000-0000-000002000000}" name="Column2" headerRowDxfId="40"/>
    <tableColumn id="3" xr3:uid="{00000000-0010-0000-0000-000003000000}" name="Column3" headerRowDxfId="39"/>
    <tableColumn id="4" xr3:uid="{00000000-0010-0000-0000-000004000000}" name="Column4" headerRowDxfId="38"/>
    <tableColumn id="5" xr3:uid="{00000000-0010-0000-0000-000005000000}" name="Column5" headerRowDxfId="37"/>
    <tableColumn id="6" xr3:uid="{00000000-0010-0000-0000-000006000000}" name="Column6" headerRowDxfId="36"/>
    <tableColumn id="7" xr3:uid="{00000000-0010-0000-0000-000007000000}" name="Column7" headerRowDxfId="35"/>
    <tableColumn id="8" xr3:uid="{00000000-0010-0000-0000-000008000000}" name="Column8" headerRowDxfId="34"/>
    <tableColumn id="9" xr3:uid="{00000000-0010-0000-0000-000009000000}" name="Column9" headerRowDxfId="33"/>
    <tableColumn id="10" xr3:uid="{00000000-0010-0000-0000-00000A000000}" name="Column10" headerRowDxfId="32"/>
    <tableColumn id="11" xr3:uid="{00000000-0010-0000-0000-00000B000000}" name="Column11" headerRowDxfId="31"/>
    <tableColumn id="12" xr3:uid="{00000000-0010-0000-0000-00000C000000}" name="Column12" headerRowDxfId="30"/>
    <tableColumn id="13" xr3:uid="{00000000-0010-0000-0000-00000D000000}" name="Column13" headerRowDxfId="29" dataDxfId="28"/>
    <tableColumn id="14" xr3:uid="{00000000-0010-0000-0000-00000E000000}" name="Column14" headerRowDxfId="27" dataDxfId="26"/>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B3:L14" headerRowCount="0" totalsRowShown="0" headerRowDxfId="25" tableBorderDxfId="24" totalsRowBorderDxfId="23">
  <tableColumns count="11">
    <tableColumn id="1" xr3:uid="{00000000-0010-0000-0100-000001000000}" name="Column1" headerRowDxfId="22" dataDxfId="21"/>
    <tableColumn id="2" xr3:uid="{00000000-0010-0000-0100-000002000000}" name="Column2" headerRowDxfId="20" dataDxfId="19"/>
    <tableColumn id="3" xr3:uid="{00000000-0010-0000-0100-000003000000}" name="Column3" headerRowDxfId="18" dataDxfId="17"/>
    <tableColumn id="4" xr3:uid="{00000000-0010-0000-0100-000004000000}" name="Column4" headerRowDxfId="16" dataDxfId="15"/>
    <tableColumn id="5" xr3:uid="{00000000-0010-0000-0100-000005000000}" name="Column5" headerRowDxfId="14" dataDxfId="13"/>
    <tableColumn id="6" xr3:uid="{00000000-0010-0000-0100-000006000000}" name="Column6" headerRowDxfId="12" dataDxfId="11"/>
    <tableColumn id="7" xr3:uid="{00000000-0010-0000-0100-000007000000}" name="Column7" headerRowDxfId="10" dataDxfId="9"/>
    <tableColumn id="8" xr3:uid="{00000000-0010-0000-0100-000008000000}" name="Column8" headerRowDxfId="8" dataDxfId="7"/>
    <tableColumn id="9" xr3:uid="{00000000-0010-0000-0100-000009000000}" name="Column9" headerRowDxfId="6" dataDxfId="5"/>
    <tableColumn id="10" xr3:uid="{00000000-0010-0000-0100-00000A000000}" name="Column10" headerRowDxfId="4" dataDxfId="3"/>
    <tableColumn id="11" xr3:uid="{00000000-0010-0000-0100-00000B000000}" name="Column11" headerRowDxfId="2" data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1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creener.in/"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creener.in/"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923E-7ABE-4E75-A86A-FEDAEA3A8C0A}">
  <dimension ref="A1:AX41"/>
  <sheetViews>
    <sheetView showGridLines="0" zoomScale="83" zoomScaleNormal="83" workbookViewId="0">
      <selection activeCell="C28" sqref="C28"/>
    </sheetView>
  </sheetViews>
  <sheetFormatPr defaultRowHeight="14.4" x14ac:dyDescent="0.3"/>
  <cols>
    <col min="1" max="1" width="2.33203125" customWidth="1"/>
    <col min="2" max="2" width="27.88671875" customWidth="1"/>
    <col min="3" max="3" width="48.44140625" customWidth="1"/>
    <col min="4" max="4" width="44.88671875" customWidth="1"/>
  </cols>
  <sheetData>
    <row r="1" spans="1:50" s="33" customFormat="1" ht="64.2" customHeight="1" x14ac:dyDescent="1.2">
      <c r="A1" s="35"/>
      <c r="B1" s="35"/>
      <c r="C1" s="334" t="s">
        <v>93</v>
      </c>
      <c r="D1" s="334"/>
      <c r="E1" s="334"/>
      <c r="F1" s="334"/>
      <c r="G1" s="334"/>
      <c r="H1" s="334"/>
      <c r="I1" s="334"/>
      <c r="J1" s="334"/>
      <c r="K1" s="334"/>
      <c r="L1" s="334"/>
      <c r="M1" s="334"/>
      <c r="N1" s="334"/>
      <c r="O1" s="334"/>
    </row>
    <row r="5" spans="1:50" x14ac:dyDescent="0.3">
      <c r="B5" s="215" t="s">
        <v>272</v>
      </c>
      <c r="C5" s="209" t="s">
        <v>63</v>
      </c>
    </row>
    <row r="6" spans="1:50" x14ac:dyDescent="0.3">
      <c r="B6" s="215" t="s">
        <v>379</v>
      </c>
      <c r="C6" s="209" t="s">
        <v>380</v>
      </c>
    </row>
    <row r="7" spans="1:50" x14ac:dyDescent="0.3">
      <c r="B7" s="215" t="s">
        <v>381</v>
      </c>
      <c r="C7" s="210" t="s">
        <v>382</v>
      </c>
    </row>
    <row r="8" spans="1:50" x14ac:dyDescent="0.3">
      <c r="B8" s="215" t="s">
        <v>383</v>
      </c>
      <c r="C8" s="210" t="s">
        <v>384</v>
      </c>
    </row>
    <row r="9" spans="1:50" x14ac:dyDescent="0.3">
      <c r="B9" s="215" t="s">
        <v>385</v>
      </c>
      <c r="C9" s="210" t="s">
        <v>386</v>
      </c>
    </row>
    <row r="10" spans="1:50" x14ac:dyDescent="0.3">
      <c r="B10" s="215" t="s">
        <v>387</v>
      </c>
      <c r="C10" s="210" t="s">
        <v>388</v>
      </c>
      <c r="AN10" s="204" t="s">
        <v>360</v>
      </c>
      <c r="AO10" s="205" t="s">
        <v>366</v>
      </c>
      <c r="AP10" s="205" t="s">
        <v>367</v>
      </c>
      <c r="AQ10" s="205" t="s">
        <v>368</v>
      </c>
      <c r="AR10" s="205" t="s">
        <v>369</v>
      </c>
      <c r="AS10" s="205" t="s">
        <v>370</v>
      </c>
      <c r="AT10" s="205" t="s">
        <v>371</v>
      </c>
      <c r="AU10" s="205" t="s">
        <v>372</v>
      </c>
      <c r="AV10" s="205" t="s">
        <v>373</v>
      </c>
      <c r="AW10" s="205" t="s">
        <v>374</v>
      </c>
      <c r="AX10" s="206" t="s">
        <v>375</v>
      </c>
    </row>
    <row r="11" spans="1:50" ht="272.39999999999998" customHeight="1" x14ac:dyDescent="0.3">
      <c r="B11" s="216" t="s">
        <v>389</v>
      </c>
      <c r="C11" s="212" t="s">
        <v>390</v>
      </c>
      <c r="AN11" s="207" t="s">
        <v>376</v>
      </c>
      <c r="AO11" s="208">
        <v>0.15</v>
      </c>
      <c r="AP11" s="208">
        <v>0.14000000000000001</v>
      </c>
      <c r="AQ11" s="208">
        <v>0.13500000000000001</v>
      </c>
      <c r="AR11" s="208">
        <v>0.13</v>
      </c>
      <c r="AS11" s="208">
        <v>0.125</v>
      </c>
      <c r="AT11" s="208">
        <v>0.12</v>
      </c>
      <c r="AU11" s="208">
        <v>0.115</v>
      </c>
      <c r="AV11" s="208">
        <v>0.11</v>
      </c>
      <c r="AW11" s="208">
        <v>0.105</v>
      </c>
      <c r="AX11" s="208">
        <v>0.1</v>
      </c>
    </row>
    <row r="12" spans="1:50" x14ac:dyDescent="0.3">
      <c r="B12" s="215" t="s">
        <v>391</v>
      </c>
      <c r="C12" s="211">
        <v>272</v>
      </c>
      <c r="AN12" s="207" t="s">
        <v>377</v>
      </c>
      <c r="AO12" s="208">
        <v>0.18</v>
      </c>
      <c r="AP12" s="208">
        <v>0.17</v>
      </c>
      <c r="AQ12" s="208">
        <v>0.17</v>
      </c>
      <c r="AR12" s="208">
        <v>0.16</v>
      </c>
      <c r="AS12" s="208">
        <v>0.15</v>
      </c>
      <c r="AT12" s="208">
        <v>0.14499999999999999</v>
      </c>
      <c r="AU12" s="208">
        <v>0.14000000000000001</v>
      </c>
      <c r="AV12" s="208">
        <v>0.13500000000000001</v>
      </c>
      <c r="AW12" s="208">
        <v>0.13</v>
      </c>
      <c r="AX12" s="208">
        <v>0.125</v>
      </c>
    </row>
    <row r="13" spans="1:50" x14ac:dyDescent="0.3">
      <c r="D13" s="32"/>
      <c r="E13" s="32"/>
      <c r="F13" s="32"/>
      <c r="AN13" s="207" t="s">
        <v>378</v>
      </c>
      <c r="AO13" s="208">
        <v>0.1</v>
      </c>
      <c r="AP13" s="208">
        <v>9.5000000000000001E-2</v>
      </c>
      <c r="AQ13" s="208">
        <v>0.09</v>
      </c>
      <c r="AR13" s="208">
        <v>8.5000000000000006E-2</v>
      </c>
      <c r="AS13" s="208">
        <v>0.08</v>
      </c>
      <c r="AT13" s="208">
        <v>7.4999999999999997E-2</v>
      </c>
      <c r="AU13" s="208">
        <v>7.0000000000000007E-2</v>
      </c>
      <c r="AV13" s="208">
        <v>6.5000000000000002E-2</v>
      </c>
      <c r="AW13" s="208">
        <v>0.06</v>
      </c>
      <c r="AX13" s="208">
        <v>5.5E-2</v>
      </c>
    </row>
    <row r="14" spans="1:50" x14ac:dyDescent="0.3">
      <c r="B14" s="213" t="s">
        <v>392</v>
      </c>
      <c r="C14" s="221" t="s">
        <v>393</v>
      </c>
      <c r="D14" s="225"/>
      <c r="E14" s="225"/>
      <c r="F14" s="223"/>
    </row>
    <row r="15" spans="1:50" x14ac:dyDescent="0.3">
      <c r="B15" s="214" t="s">
        <v>377</v>
      </c>
      <c r="C15" s="222">
        <v>2</v>
      </c>
      <c r="D15" s="226"/>
      <c r="E15" s="226"/>
      <c r="F15" s="224"/>
    </row>
    <row r="18" spans="2:14" x14ac:dyDescent="0.3">
      <c r="B18" s="217"/>
      <c r="C18" s="218"/>
      <c r="D18" s="204" t="s">
        <v>360</v>
      </c>
      <c r="E18" s="205" t="s">
        <v>366</v>
      </c>
      <c r="F18" s="205" t="s">
        <v>367</v>
      </c>
      <c r="G18" s="205" t="s">
        <v>368</v>
      </c>
      <c r="H18" s="205" t="s">
        <v>369</v>
      </c>
      <c r="I18" s="205" t="s">
        <v>370</v>
      </c>
      <c r="J18" s="205" t="s">
        <v>371</v>
      </c>
      <c r="K18" s="205" t="s">
        <v>372</v>
      </c>
      <c r="L18" s="205" t="s">
        <v>373</v>
      </c>
      <c r="M18" s="205" t="s">
        <v>374</v>
      </c>
      <c r="N18" s="206" t="s">
        <v>375</v>
      </c>
    </row>
    <row r="19" spans="2:14" x14ac:dyDescent="0.3">
      <c r="B19" s="271" t="s">
        <v>395</v>
      </c>
      <c r="C19" s="313">
        <v>45516</v>
      </c>
      <c r="D19" s="271" t="s">
        <v>376</v>
      </c>
      <c r="E19" s="271">
        <v>0.15</v>
      </c>
      <c r="F19" s="271">
        <v>0.14000000000000001</v>
      </c>
      <c r="G19" s="271">
        <v>0.13500000000000001</v>
      </c>
      <c r="H19" s="271">
        <v>0.13</v>
      </c>
      <c r="I19" s="271">
        <v>0.125</v>
      </c>
      <c r="J19" s="271">
        <v>0.12</v>
      </c>
      <c r="K19" s="271">
        <v>0.115</v>
      </c>
      <c r="L19" s="271">
        <v>0.11</v>
      </c>
      <c r="M19" s="271">
        <v>0.105</v>
      </c>
      <c r="N19" s="271">
        <v>0.1</v>
      </c>
    </row>
    <row r="20" spans="2:14" x14ac:dyDescent="0.3">
      <c r="B20" s="271" t="s">
        <v>396</v>
      </c>
      <c r="C20" s="313">
        <v>45747</v>
      </c>
      <c r="D20" s="271" t="s">
        <v>377</v>
      </c>
      <c r="E20" s="271">
        <v>0.18</v>
      </c>
      <c r="F20" s="271">
        <v>0.17</v>
      </c>
      <c r="G20" s="271">
        <v>0.17</v>
      </c>
      <c r="H20" s="271">
        <v>0.16</v>
      </c>
      <c r="I20" s="271">
        <v>0.15</v>
      </c>
      <c r="J20" s="271">
        <v>0.14499999999999999</v>
      </c>
      <c r="K20" s="271">
        <v>0.14000000000000001</v>
      </c>
      <c r="L20" s="271">
        <v>0.13500000000000001</v>
      </c>
      <c r="M20" s="271">
        <v>0.13</v>
      </c>
      <c r="N20" s="271">
        <v>0.125</v>
      </c>
    </row>
    <row r="21" spans="2:14" x14ac:dyDescent="0.3">
      <c r="B21" s="271" t="s">
        <v>323</v>
      </c>
      <c r="C21" s="271">
        <v>7.1919999999999998E-2</v>
      </c>
      <c r="D21" s="271" t="s">
        <v>378</v>
      </c>
      <c r="E21" s="271">
        <v>0.1</v>
      </c>
      <c r="F21" s="271">
        <v>9.5000000000000001E-2</v>
      </c>
      <c r="G21" s="271">
        <v>0.09</v>
      </c>
      <c r="H21" s="271">
        <v>8.5000000000000006E-2</v>
      </c>
      <c r="I21" s="271">
        <v>0.08</v>
      </c>
      <c r="J21" s="271">
        <v>7.4999999999999997E-2</v>
      </c>
      <c r="K21" s="271">
        <v>7.0000000000000007E-2</v>
      </c>
      <c r="L21" s="271">
        <v>6.5000000000000002E-2</v>
      </c>
      <c r="M21" s="271">
        <v>0.06</v>
      </c>
      <c r="N21" s="271">
        <v>5.5E-2</v>
      </c>
    </row>
    <row r="22" spans="2:14" x14ac:dyDescent="0.3">
      <c r="B22" s="271" t="s">
        <v>322</v>
      </c>
      <c r="C22" s="271">
        <v>0.255</v>
      </c>
    </row>
    <row r="23" spans="2:14" x14ac:dyDescent="0.3">
      <c r="B23" s="271" t="s">
        <v>397</v>
      </c>
      <c r="C23" s="271">
        <f>'[1]comps valuation'!R11</f>
        <v>5.4069883964204504</v>
      </c>
    </row>
    <row r="24" spans="2:14" x14ac:dyDescent="0.3">
      <c r="B24" s="271" t="s">
        <v>398</v>
      </c>
      <c r="C24" s="271">
        <v>0.06</v>
      </c>
    </row>
    <row r="25" spans="2:14" x14ac:dyDescent="0.3">
      <c r="B25" s="271" t="s">
        <v>399</v>
      </c>
      <c r="C25" s="271">
        <f>WACC!G36</f>
        <v>0.255</v>
      </c>
    </row>
    <row r="26" spans="2:14" x14ac:dyDescent="0.3">
      <c r="B26" s="271" t="s">
        <v>400</v>
      </c>
      <c r="C26" s="271">
        <f>'[1]comps valuation'!G11</f>
        <v>2029.4</v>
      </c>
    </row>
    <row r="27" spans="2:14" x14ac:dyDescent="0.3">
      <c r="B27" s="271" t="s">
        <v>43</v>
      </c>
      <c r="C27" s="271">
        <v>272</v>
      </c>
    </row>
    <row r="28" spans="2:14" ht="51" customHeight="1" x14ac:dyDescent="0.3">
      <c r="B28" s="213" t="s">
        <v>401</v>
      </c>
      <c r="C28" s="213" t="s">
        <v>402</v>
      </c>
      <c r="D28" s="338" t="s">
        <v>403</v>
      </c>
      <c r="E28" s="339"/>
      <c r="F28" s="339"/>
      <c r="G28" s="339"/>
      <c r="H28" s="340"/>
    </row>
    <row r="29" spans="2:14" ht="51" customHeight="1" x14ac:dyDescent="0.3">
      <c r="B29" s="341" t="s">
        <v>394</v>
      </c>
      <c r="C29" s="219" t="s">
        <v>404</v>
      </c>
      <c r="D29" s="335" t="s">
        <v>405</v>
      </c>
      <c r="E29" s="336"/>
      <c r="F29" s="336"/>
      <c r="G29" s="336"/>
      <c r="H29" s="337"/>
    </row>
    <row r="30" spans="2:14" ht="51" customHeight="1" x14ac:dyDescent="0.3">
      <c r="B30" s="342" t="s">
        <v>394</v>
      </c>
      <c r="C30" s="219" t="s">
        <v>406</v>
      </c>
      <c r="D30" s="335" t="s">
        <v>407</v>
      </c>
      <c r="E30" s="336"/>
      <c r="F30" s="336"/>
      <c r="G30" s="336"/>
      <c r="H30" s="337"/>
    </row>
    <row r="31" spans="2:14" ht="51" customHeight="1" x14ac:dyDescent="0.3">
      <c r="B31" s="343" t="s">
        <v>394</v>
      </c>
      <c r="C31" s="219" t="s">
        <v>408</v>
      </c>
      <c r="D31" s="344" t="s">
        <v>409</v>
      </c>
      <c r="E31" s="345"/>
      <c r="F31" s="345"/>
      <c r="G31" s="345"/>
      <c r="H31" s="346"/>
    </row>
    <row r="32" spans="2:14" ht="51" customHeight="1" x14ac:dyDescent="0.3">
      <c r="B32" s="220" t="s">
        <v>394</v>
      </c>
      <c r="C32" s="219" t="s">
        <v>410</v>
      </c>
      <c r="D32" s="335" t="s">
        <v>411</v>
      </c>
      <c r="E32" s="336"/>
      <c r="F32" s="336"/>
      <c r="G32" s="336"/>
      <c r="H32" s="337"/>
    </row>
    <row r="33" spans="2:8" ht="51" customHeight="1" x14ac:dyDescent="0.3">
      <c r="B33" s="220" t="s">
        <v>394</v>
      </c>
      <c r="C33" s="219" t="s">
        <v>398</v>
      </c>
      <c r="D33" s="335" t="s">
        <v>412</v>
      </c>
      <c r="E33" s="336"/>
      <c r="F33" s="336"/>
      <c r="G33" s="336"/>
      <c r="H33" s="337"/>
    </row>
    <row r="34" spans="2:8" ht="51" customHeight="1" x14ac:dyDescent="0.3">
      <c r="B34" s="220" t="s">
        <v>413</v>
      </c>
      <c r="C34" s="219" t="s">
        <v>414</v>
      </c>
      <c r="D34" s="335" t="s">
        <v>415</v>
      </c>
      <c r="E34" s="336"/>
      <c r="F34" s="336"/>
      <c r="G34" s="336"/>
      <c r="H34" s="337"/>
    </row>
    <row r="35" spans="2:8" ht="51" customHeight="1" x14ac:dyDescent="0.3">
      <c r="B35" s="220" t="s">
        <v>413</v>
      </c>
      <c r="C35" s="219" t="s">
        <v>416</v>
      </c>
      <c r="D35" s="335" t="s">
        <v>417</v>
      </c>
      <c r="E35" s="336"/>
      <c r="F35" s="336"/>
      <c r="G35" s="336"/>
      <c r="H35" s="337"/>
    </row>
    <row r="36" spans="2:8" ht="51" customHeight="1" x14ac:dyDescent="0.3">
      <c r="B36" s="220" t="s">
        <v>413</v>
      </c>
      <c r="C36" s="219" t="s">
        <v>418</v>
      </c>
      <c r="D36" s="335" t="s">
        <v>419</v>
      </c>
      <c r="E36" s="336"/>
      <c r="F36" s="336"/>
      <c r="G36" s="336"/>
      <c r="H36" s="337"/>
    </row>
    <row r="37" spans="2:8" ht="51" customHeight="1" x14ac:dyDescent="0.3">
      <c r="B37" s="220" t="s">
        <v>413</v>
      </c>
      <c r="C37" s="219" t="s">
        <v>420</v>
      </c>
      <c r="D37" s="335" t="s">
        <v>421</v>
      </c>
      <c r="E37" s="336"/>
      <c r="F37" s="336"/>
      <c r="G37" s="336"/>
      <c r="H37" s="337"/>
    </row>
    <row r="38" spans="2:8" ht="51" customHeight="1" x14ac:dyDescent="0.3">
      <c r="B38" s="220" t="s">
        <v>413</v>
      </c>
      <c r="C38" s="219" t="s">
        <v>17</v>
      </c>
      <c r="D38" s="335" t="s">
        <v>422</v>
      </c>
      <c r="E38" s="336"/>
      <c r="F38" s="336"/>
      <c r="G38" s="336"/>
      <c r="H38" s="337"/>
    </row>
    <row r="39" spans="2:8" ht="51" customHeight="1" x14ac:dyDescent="0.3">
      <c r="B39" s="220" t="s">
        <v>413</v>
      </c>
      <c r="C39" s="219" t="s">
        <v>322</v>
      </c>
      <c r="D39" s="335" t="s">
        <v>423</v>
      </c>
      <c r="E39" s="336"/>
      <c r="F39" s="336"/>
      <c r="G39" s="336"/>
      <c r="H39" s="337"/>
    </row>
    <row r="40" spans="2:8" ht="51" customHeight="1" x14ac:dyDescent="0.3">
      <c r="B40" s="220" t="s">
        <v>424</v>
      </c>
      <c r="C40" s="219" t="s">
        <v>410</v>
      </c>
      <c r="D40" s="335" t="s">
        <v>425</v>
      </c>
      <c r="E40" s="336"/>
      <c r="F40" s="336"/>
      <c r="G40" s="336"/>
      <c r="H40" s="337"/>
    </row>
    <row r="41" spans="2:8" x14ac:dyDescent="0.3">
      <c r="B41" s="44"/>
      <c r="C41" s="44"/>
      <c r="D41" s="44"/>
    </row>
  </sheetData>
  <mergeCells count="15">
    <mergeCell ref="B29:B31"/>
    <mergeCell ref="D30:H30"/>
    <mergeCell ref="D31:H31"/>
    <mergeCell ref="D32:H32"/>
    <mergeCell ref="D33:H33"/>
    <mergeCell ref="D29:H29"/>
    <mergeCell ref="C1:O1"/>
    <mergeCell ref="D37:H37"/>
    <mergeCell ref="D38:H38"/>
    <mergeCell ref="D39:H39"/>
    <mergeCell ref="D40:H40"/>
    <mergeCell ref="D34:H34"/>
    <mergeCell ref="D35:H35"/>
    <mergeCell ref="D36:H36"/>
    <mergeCell ref="D28:H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6C7A-F190-4FEE-98E4-0754A6069284}">
  <dimension ref="A1:Y53"/>
  <sheetViews>
    <sheetView showGridLines="0" zoomScale="63" zoomScaleNormal="63" workbookViewId="0">
      <pane ySplit="3" topLeftCell="A4" activePane="bottomLeft" state="frozen"/>
      <selection pane="bottomLeft" activeCell="B1" sqref="B1"/>
    </sheetView>
  </sheetViews>
  <sheetFormatPr defaultRowHeight="14.4" x14ac:dyDescent="0.3"/>
  <cols>
    <col min="1" max="1" width="2.33203125" style="34" customWidth="1"/>
    <col min="2" max="9" width="8.88671875" style="34"/>
    <col min="10" max="10" width="21.5546875" style="34" customWidth="1"/>
    <col min="11" max="13" width="9.77734375" style="34" bestFit="1" customWidth="1"/>
    <col min="14" max="15" width="9.5546875" style="34" bestFit="1" customWidth="1"/>
    <col min="16" max="16384" width="8.88671875" style="34"/>
  </cols>
  <sheetData>
    <row r="1" spans="1:25" s="33" customFormat="1" ht="61.8" customHeight="1" x14ac:dyDescent="1.2">
      <c r="A1" s="35"/>
      <c r="B1" s="35"/>
      <c r="C1" s="35"/>
      <c r="D1" s="35"/>
      <c r="E1" s="334" t="s">
        <v>93</v>
      </c>
      <c r="F1" s="334"/>
      <c r="G1" s="334"/>
      <c r="H1" s="334"/>
      <c r="I1" s="334"/>
      <c r="J1" s="334"/>
      <c r="K1" s="334"/>
      <c r="L1" s="334"/>
      <c r="M1" s="334"/>
      <c r="N1" s="334"/>
      <c r="O1" s="334"/>
    </row>
    <row r="2" spans="1:25" x14ac:dyDescent="0.3">
      <c r="B2" s="349" t="s">
        <v>254</v>
      </c>
      <c r="C2" s="349"/>
      <c r="D2" s="349"/>
      <c r="E2" s="349"/>
      <c r="F2" s="349"/>
    </row>
    <row r="3" spans="1:25" ht="16.8" customHeight="1" x14ac:dyDescent="0.35">
      <c r="A3" s="38" t="s">
        <v>94</v>
      </c>
      <c r="B3" s="347" t="s">
        <v>95</v>
      </c>
      <c r="C3" s="347"/>
      <c r="D3" s="347"/>
      <c r="E3" s="347"/>
      <c r="F3" s="347"/>
      <c r="G3" s="35"/>
      <c r="H3" s="35"/>
      <c r="I3" s="35"/>
      <c r="J3" s="35"/>
      <c r="K3" s="36">
        <f>'Data Sheet'!G16</f>
        <v>44286</v>
      </c>
      <c r="L3" s="36">
        <f>'Data Sheet'!H16</f>
        <v>44651</v>
      </c>
      <c r="M3" s="36">
        <f>'Data Sheet'!I16</f>
        <v>45016</v>
      </c>
      <c r="N3" s="36">
        <f>'Data Sheet'!J16</f>
        <v>45382</v>
      </c>
      <c r="O3" s="36">
        <f>'Data Sheet'!K16</f>
        <v>45747</v>
      </c>
    </row>
    <row r="4" spans="1:25" x14ac:dyDescent="0.3">
      <c r="B4" s="271" t="s">
        <v>96</v>
      </c>
      <c r="C4" s="271"/>
      <c r="D4" s="271"/>
      <c r="E4" s="271"/>
      <c r="F4" s="271"/>
      <c r="G4" s="271"/>
      <c r="H4" s="271"/>
      <c r="I4" s="271"/>
      <c r="J4" s="271"/>
      <c r="K4" s="271">
        <v>1406383</v>
      </c>
      <c r="L4" s="271">
        <v>1531376</v>
      </c>
      <c r="M4" s="271">
        <v>1764620</v>
      </c>
      <c r="N4" s="271">
        <v>2016939</v>
      </c>
      <c r="O4" s="271">
        <v>2365801</v>
      </c>
    </row>
    <row r="5" spans="1:25" x14ac:dyDescent="0.3">
      <c r="B5" s="271" t="s">
        <v>9</v>
      </c>
      <c r="C5" s="271"/>
      <c r="D5" s="271"/>
      <c r="E5" s="271"/>
      <c r="F5" s="271"/>
      <c r="G5" s="271"/>
      <c r="H5" s="271"/>
      <c r="I5" s="271"/>
      <c r="J5" s="271"/>
      <c r="K5" s="271">
        <v>12610</v>
      </c>
      <c r="L5" s="271">
        <v>23359</v>
      </c>
      <c r="M5" s="271">
        <v>36002</v>
      </c>
      <c r="N5" s="271">
        <v>75584</v>
      </c>
      <c r="O5" s="271">
        <v>76759</v>
      </c>
    </row>
    <row r="6" spans="1:25" s="37" customFormat="1" x14ac:dyDescent="0.3">
      <c r="B6" s="41" t="s">
        <v>97</v>
      </c>
      <c r="C6" s="48"/>
      <c r="D6" s="48"/>
      <c r="E6" s="48"/>
      <c r="F6" s="48"/>
      <c r="G6" s="48"/>
      <c r="H6" s="48"/>
      <c r="I6" s="48"/>
      <c r="J6" s="48"/>
      <c r="K6" s="48">
        <f t="shared" ref="K6:O6" si="0">SUM(K4:K5)</f>
        <v>1418993</v>
      </c>
      <c r="L6" s="48">
        <f t="shared" si="0"/>
        <v>1554735</v>
      </c>
      <c r="M6" s="48">
        <f t="shared" si="0"/>
        <v>1800622</v>
      </c>
      <c r="N6" s="48">
        <f t="shared" si="0"/>
        <v>2092523</v>
      </c>
      <c r="O6" s="48">
        <f t="shared" si="0"/>
        <v>2442560</v>
      </c>
    </row>
    <row r="7" spans="1:25" x14ac:dyDescent="0.3">
      <c r="B7" s="39"/>
      <c r="C7" s="38"/>
      <c r="D7" s="38"/>
      <c r="E7" s="38"/>
      <c r="F7" s="38"/>
      <c r="G7" s="38"/>
      <c r="H7" s="38"/>
      <c r="I7" s="38"/>
      <c r="J7" s="38"/>
      <c r="K7" s="38"/>
      <c r="L7" s="38"/>
      <c r="M7" s="38"/>
      <c r="N7" s="38"/>
      <c r="O7" s="38"/>
    </row>
    <row r="8" spans="1:25" x14ac:dyDescent="0.3">
      <c r="B8" s="41" t="s">
        <v>98</v>
      </c>
      <c r="C8" s="42"/>
      <c r="D8" s="42"/>
      <c r="E8" s="42"/>
      <c r="F8" s="42"/>
      <c r="G8" s="42"/>
      <c r="H8" s="42"/>
      <c r="I8" s="42"/>
      <c r="J8" s="42"/>
      <c r="K8" s="42"/>
      <c r="L8" s="42"/>
      <c r="M8" s="42"/>
      <c r="N8" s="42"/>
      <c r="O8" s="42"/>
    </row>
    <row r="9" spans="1:25" x14ac:dyDescent="0.3">
      <c r="B9" s="271" t="s">
        <v>99</v>
      </c>
      <c r="C9" s="271"/>
      <c r="D9" s="271"/>
      <c r="E9" s="271"/>
      <c r="F9" s="271"/>
      <c r="G9" s="271"/>
      <c r="H9" s="271"/>
      <c r="I9" s="271"/>
      <c r="J9" s="271"/>
      <c r="K9" s="271">
        <v>-668520</v>
      </c>
      <c r="L9" s="271">
        <v>-809634</v>
      </c>
      <c r="M9" s="271">
        <v>-937844</v>
      </c>
      <c r="N9" s="271">
        <v>-1049762</v>
      </c>
      <c r="O9" s="271">
        <v>-1256140</v>
      </c>
    </row>
    <row r="10" spans="1:25" x14ac:dyDescent="0.3">
      <c r="B10" s="271" t="s">
        <v>100</v>
      </c>
      <c r="C10" s="271"/>
      <c r="D10" s="271"/>
      <c r="E10" s="271"/>
      <c r="F10" s="271"/>
      <c r="G10" s="271"/>
      <c r="H10" s="271"/>
      <c r="I10" s="271"/>
      <c r="J10" s="271"/>
      <c r="K10" s="271">
        <v>-123321</v>
      </c>
      <c r="L10" s="271">
        <v>-105349</v>
      </c>
      <c r="M10" s="271">
        <v>-82785</v>
      </c>
      <c r="N10" s="271">
        <v>-62886</v>
      </c>
      <c r="O10" s="271">
        <v>-43041</v>
      </c>
      <c r="S10" s="43"/>
      <c r="T10" s="43"/>
      <c r="U10" s="43"/>
      <c r="V10" s="43"/>
      <c r="W10" s="43"/>
      <c r="X10" s="43"/>
      <c r="Y10" s="43"/>
    </row>
    <row r="11" spans="1:25" x14ac:dyDescent="0.3">
      <c r="B11" s="271" t="s">
        <v>101</v>
      </c>
      <c r="C11" s="271"/>
      <c r="D11" s="271"/>
      <c r="E11" s="271"/>
      <c r="F11" s="271"/>
      <c r="G11" s="271"/>
      <c r="H11" s="271"/>
      <c r="I11" s="271"/>
      <c r="J11" s="271"/>
      <c r="K11" s="271">
        <v>-12933</v>
      </c>
      <c r="L11" s="271">
        <v>-27697</v>
      </c>
      <c r="M11" s="271">
        <v>-39745</v>
      </c>
      <c r="N11" s="271">
        <v>-56057</v>
      </c>
      <c r="O11" s="271">
        <v>-81083</v>
      </c>
      <c r="S11" s="45"/>
      <c r="T11" s="44"/>
      <c r="U11" s="44"/>
      <c r="V11" s="44"/>
      <c r="W11" s="44"/>
      <c r="X11" s="44"/>
      <c r="Y11" s="44"/>
    </row>
    <row r="12" spans="1:25" x14ac:dyDescent="0.3">
      <c r="B12" s="271" t="s">
        <v>102</v>
      </c>
      <c r="C12" s="271"/>
      <c r="D12" s="271"/>
      <c r="E12" s="271"/>
      <c r="F12" s="271"/>
      <c r="G12" s="271"/>
      <c r="H12" s="271"/>
      <c r="I12" s="271"/>
      <c r="J12" s="271"/>
      <c r="K12" s="271">
        <v>-194068</v>
      </c>
      <c r="L12" s="271">
        <v>-210939</v>
      </c>
      <c r="M12" s="271">
        <v>-229773</v>
      </c>
      <c r="N12" s="271">
        <v>-246670</v>
      </c>
      <c r="O12" s="271">
        <v>-273436</v>
      </c>
      <c r="S12" s="45"/>
      <c r="T12" s="44"/>
      <c r="U12" s="44"/>
      <c r="V12" s="44"/>
      <c r="W12" s="44"/>
      <c r="X12" s="44"/>
      <c r="Y12" s="44"/>
    </row>
    <row r="13" spans="1:25" x14ac:dyDescent="0.3">
      <c r="B13" s="271" t="s">
        <v>103</v>
      </c>
      <c r="C13" s="271"/>
      <c r="D13" s="271"/>
      <c r="E13" s="271"/>
      <c r="F13" s="271"/>
      <c r="G13" s="271"/>
      <c r="H13" s="271"/>
      <c r="I13" s="271"/>
      <c r="J13" s="271"/>
      <c r="K13" s="271">
        <v>-608</v>
      </c>
      <c r="L13" s="271">
        <v>-485</v>
      </c>
      <c r="M13" s="271">
        <v>-1479</v>
      </c>
      <c r="N13" s="271">
        <v>-702</v>
      </c>
      <c r="O13" s="271">
        <v>-961</v>
      </c>
      <c r="S13" s="45"/>
      <c r="T13" s="44"/>
      <c r="U13" s="44"/>
      <c r="V13" s="44"/>
      <c r="W13" s="44"/>
      <c r="X13" s="44"/>
      <c r="Y13" s="44"/>
    </row>
    <row r="14" spans="1:25" x14ac:dyDescent="0.3">
      <c r="B14" s="271" t="s">
        <v>104</v>
      </c>
      <c r="C14" s="271"/>
      <c r="D14" s="271"/>
      <c r="E14" s="271"/>
      <c r="F14" s="271"/>
      <c r="G14" s="271"/>
      <c r="H14" s="271"/>
      <c r="I14" s="271"/>
      <c r="J14" s="271"/>
      <c r="K14" s="271">
        <v>-36633</v>
      </c>
      <c r="L14" s="271">
        <v>-38018</v>
      </c>
      <c r="M14" s="271">
        <v>-40787</v>
      </c>
      <c r="N14" s="271">
        <v>-41243</v>
      </c>
      <c r="O14" s="271">
        <v>-43558</v>
      </c>
    </row>
    <row r="15" spans="1:25" x14ac:dyDescent="0.3">
      <c r="B15" s="271" t="s">
        <v>86</v>
      </c>
      <c r="C15" s="271"/>
      <c r="D15" s="271"/>
      <c r="E15" s="271"/>
      <c r="F15" s="271"/>
      <c r="G15" s="271"/>
      <c r="H15" s="271"/>
      <c r="I15" s="271"/>
      <c r="J15" s="271"/>
      <c r="K15" s="271">
        <v>-111421</v>
      </c>
      <c r="L15" s="271">
        <v>-99263</v>
      </c>
      <c r="M15" s="271">
        <v>-149211</v>
      </c>
      <c r="N15" s="271">
        <v>-213861</v>
      </c>
      <c r="O15" s="271">
        <v>-197508</v>
      </c>
      <c r="T15" s="38">
        <f>T11+T12</f>
        <v>0</v>
      </c>
    </row>
    <row r="16" spans="1:25" x14ac:dyDescent="0.3">
      <c r="B16" s="271" t="s">
        <v>105</v>
      </c>
      <c r="C16" s="271"/>
      <c r="D16" s="271"/>
      <c r="E16" s="271"/>
      <c r="F16" s="271"/>
      <c r="G16" s="271"/>
      <c r="H16" s="271"/>
      <c r="I16" s="271"/>
      <c r="J16" s="271"/>
      <c r="K16" s="271">
        <f>SUM(K9:K15)</f>
        <v>-1147504</v>
      </c>
      <c r="L16" s="271">
        <f t="shared" ref="L16:O16" si="1">SUM(L9:L15)</f>
        <v>-1291385</v>
      </c>
      <c r="M16" s="271">
        <f t="shared" si="1"/>
        <v>-1481624</v>
      </c>
      <c r="N16" s="271">
        <f t="shared" si="1"/>
        <v>-1671181</v>
      </c>
      <c r="O16" s="271">
        <f t="shared" si="1"/>
        <v>-1895727</v>
      </c>
    </row>
    <row r="17" spans="2:15" x14ac:dyDescent="0.3">
      <c r="B17" s="271" t="s">
        <v>106</v>
      </c>
      <c r="C17" s="271"/>
      <c r="D17" s="271"/>
      <c r="E17" s="271"/>
      <c r="F17" s="271"/>
      <c r="G17" s="271"/>
      <c r="H17" s="271"/>
      <c r="I17" s="271"/>
      <c r="J17" s="271"/>
      <c r="K17" s="271">
        <v>0</v>
      </c>
      <c r="L17" s="271">
        <v>0</v>
      </c>
      <c r="M17" s="271">
        <v>0</v>
      </c>
      <c r="N17" s="271">
        <v>0</v>
      </c>
      <c r="O17" s="271">
        <v>0</v>
      </c>
    </row>
    <row r="18" spans="2:15" s="37" customFormat="1" x14ac:dyDescent="0.3">
      <c r="B18" s="41" t="s">
        <v>107</v>
      </c>
      <c r="C18" s="48"/>
      <c r="D18" s="48"/>
      <c r="E18" s="48"/>
      <c r="F18" s="48"/>
      <c r="G18" s="48"/>
      <c r="H18" s="48"/>
      <c r="I18" s="48"/>
      <c r="J18" s="48"/>
      <c r="K18" s="49">
        <f>K16</f>
        <v>-1147504</v>
      </c>
      <c r="L18" s="49">
        <f t="shared" ref="L18:O18" si="2">L16</f>
        <v>-1291385</v>
      </c>
      <c r="M18" s="49">
        <f t="shared" si="2"/>
        <v>-1481624</v>
      </c>
      <c r="N18" s="49">
        <f t="shared" si="2"/>
        <v>-1671181</v>
      </c>
      <c r="O18" s="49">
        <f t="shared" si="2"/>
        <v>-1895727</v>
      </c>
    </row>
    <row r="19" spans="2:15" ht="15" customHeight="1" x14ac:dyDescent="0.3">
      <c r="B19" s="40"/>
      <c r="C19" s="38"/>
      <c r="D19" s="38"/>
      <c r="E19" s="38"/>
      <c r="F19" s="38"/>
      <c r="G19" s="38"/>
      <c r="H19" s="38"/>
      <c r="I19" s="38"/>
      <c r="J19" s="38"/>
      <c r="K19" s="38"/>
      <c r="L19" s="38"/>
      <c r="M19" s="38"/>
      <c r="N19" s="38"/>
      <c r="O19" s="38"/>
    </row>
    <row r="20" spans="2:15" s="37" customFormat="1" x14ac:dyDescent="0.3">
      <c r="B20" s="41" t="s">
        <v>118</v>
      </c>
      <c r="C20" s="48"/>
      <c r="D20" s="48"/>
      <c r="E20" s="48"/>
      <c r="F20" s="48"/>
      <c r="G20" s="48"/>
      <c r="H20" s="48"/>
      <c r="I20" s="48"/>
      <c r="J20" s="48"/>
      <c r="K20" s="49">
        <f>K6-K18</f>
        <v>2566497</v>
      </c>
      <c r="L20" s="49">
        <f t="shared" ref="L20:O20" si="3">L6-L18</f>
        <v>2846120</v>
      </c>
      <c r="M20" s="49">
        <f t="shared" si="3"/>
        <v>3282246</v>
      </c>
      <c r="N20" s="49">
        <f t="shared" si="3"/>
        <v>3763704</v>
      </c>
      <c r="O20" s="49">
        <f t="shared" si="3"/>
        <v>4338287</v>
      </c>
    </row>
    <row r="21" spans="2:15" x14ac:dyDescent="0.3">
      <c r="C21" s="38"/>
      <c r="D21" s="38"/>
      <c r="E21" s="38"/>
      <c r="F21" s="38"/>
      <c r="G21" s="38"/>
      <c r="H21" s="38"/>
      <c r="I21" s="38"/>
      <c r="J21" s="38"/>
      <c r="K21" s="46"/>
      <c r="L21" s="38"/>
      <c r="M21" s="38"/>
      <c r="N21" s="38"/>
      <c r="O21" s="38"/>
    </row>
    <row r="22" spans="2:15" x14ac:dyDescent="0.3">
      <c r="B22" s="271" t="s">
        <v>108</v>
      </c>
      <c r="C22" s="271"/>
      <c r="D22" s="271"/>
      <c r="E22" s="271"/>
      <c r="F22" s="271"/>
      <c r="G22" s="271"/>
      <c r="H22" s="271"/>
      <c r="I22" s="271"/>
      <c r="J22" s="271"/>
      <c r="K22" s="271"/>
      <c r="L22" s="271"/>
      <c r="M22" s="271"/>
      <c r="N22" s="271"/>
      <c r="O22" s="271"/>
    </row>
    <row r="23" spans="2:15" x14ac:dyDescent="0.3">
      <c r="B23" s="271" t="s">
        <v>109</v>
      </c>
      <c r="C23" s="271"/>
      <c r="D23" s="271"/>
      <c r="E23" s="271"/>
      <c r="F23" s="271"/>
      <c r="G23" s="271"/>
      <c r="H23" s="271"/>
      <c r="I23" s="271"/>
      <c r="J23" s="271"/>
      <c r="K23" s="271">
        <v>-82493</v>
      </c>
      <c r="L23" s="271">
        <v>-91052</v>
      </c>
      <c r="M23" s="271">
        <v>-87446</v>
      </c>
      <c r="N23" s="271">
        <v>-144959</v>
      </c>
      <c r="O23" s="271">
        <v>-176135</v>
      </c>
    </row>
    <row r="24" spans="2:15" x14ac:dyDescent="0.3">
      <c r="B24" s="271" t="s">
        <v>110</v>
      </c>
      <c r="C24" s="271"/>
      <c r="D24" s="271"/>
      <c r="E24" s="271"/>
      <c r="F24" s="271"/>
      <c r="G24" s="271"/>
      <c r="H24" s="271"/>
      <c r="I24" s="271"/>
      <c r="J24" s="271"/>
      <c r="K24" s="271">
        <v>-2492</v>
      </c>
      <c r="L24" s="271">
        <v>0</v>
      </c>
      <c r="M24" s="271">
        <v>-2001</v>
      </c>
      <c r="N24" s="271">
        <v>-6890</v>
      </c>
      <c r="O24" s="271">
        <v>274</v>
      </c>
    </row>
    <row r="25" spans="2:15" x14ac:dyDescent="0.3">
      <c r="B25" s="271" t="s">
        <v>111</v>
      </c>
      <c r="C25" s="271"/>
      <c r="D25" s="271"/>
      <c r="E25" s="271"/>
      <c r="F25" s="271"/>
      <c r="G25" s="271"/>
      <c r="H25" s="271"/>
      <c r="I25" s="271"/>
      <c r="J25" s="271"/>
      <c r="K25" s="271">
        <v>6938</v>
      </c>
      <c r="L25" s="271">
        <v>-10165</v>
      </c>
      <c r="M25" s="271">
        <v>12376</v>
      </c>
      <c r="N25" s="271">
        <v>-6613</v>
      </c>
      <c r="O25" s="271">
        <v>3765</v>
      </c>
    </row>
    <row r="26" spans="2:15" x14ac:dyDescent="0.3">
      <c r="B26" s="40" t="s">
        <v>112</v>
      </c>
      <c r="C26" s="38"/>
      <c r="D26" s="38"/>
      <c r="E26" s="38"/>
      <c r="F26" s="38"/>
      <c r="G26" s="38"/>
      <c r="H26" s="38"/>
      <c r="I26" s="38"/>
      <c r="J26" s="38"/>
      <c r="K26" s="47">
        <f>SUM(K23:K25)</f>
        <v>-78047</v>
      </c>
      <c r="L26" s="47">
        <f t="shared" ref="L26:O26" si="4">SUM(L23:L25)</f>
        <v>-101217</v>
      </c>
      <c r="M26" s="47">
        <f t="shared" si="4"/>
        <v>-77071</v>
      </c>
      <c r="N26" s="47">
        <f t="shared" si="4"/>
        <v>-158462</v>
      </c>
      <c r="O26" s="47">
        <f t="shared" si="4"/>
        <v>-172096</v>
      </c>
    </row>
    <row r="27" spans="2:15" x14ac:dyDescent="0.3">
      <c r="B27" s="40"/>
      <c r="C27" s="38"/>
      <c r="D27" s="38"/>
      <c r="E27" s="38"/>
      <c r="F27" s="38"/>
      <c r="G27" s="38"/>
      <c r="H27" s="38"/>
      <c r="I27" s="38"/>
      <c r="J27" s="38"/>
      <c r="K27" s="38"/>
      <c r="L27" s="38"/>
      <c r="M27" s="38"/>
      <c r="N27" s="38"/>
      <c r="O27" s="38"/>
    </row>
    <row r="28" spans="2:15" x14ac:dyDescent="0.3">
      <c r="B28" s="271" t="s">
        <v>113</v>
      </c>
      <c r="C28" s="271"/>
      <c r="D28" s="271"/>
      <c r="E28" s="271"/>
      <c r="F28" s="271"/>
      <c r="G28" s="271"/>
      <c r="H28" s="271"/>
      <c r="I28" s="271"/>
      <c r="J28" s="271"/>
      <c r="K28" s="271">
        <f>K20-K26</f>
        <v>2644544</v>
      </c>
      <c r="L28" s="271">
        <f t="shared" ref="L28:O28" si="5">L20-L26</f>
        <v>2947337</v>
      </c>
      <c r="M28" s="271">
        <f t="shared" si="5"/>
        <v>3359317</v>
      </c>
      <c r="N28" s="271">
        <f t="shared" si="5"/>
        <v>3922166</v>
      </c>
      <c r="O28" s="271">
        <f t="shared" si="5"/>
        <v>4510383</v>
      </c>
    </row>
    <row r="29" spans="2:15" x14ac:dyDescent="0.3">
      <c r="B29" s="271" t="s">
        <v>114</v>
      </c>
      <c r="C29" s="271"/>
      <c r="D29" s="271"/>
      <c r="E29" s="271"/>
      <c r="F29" s="271"/>
      <c r="G29" s="271"/>
      <c r="H29" s="271"/>
      <c r="I29" s="271"/>
      <c r="J29" s="271"/>
      <c r="K29" s="271">
        <v>0</v>
      </c>
      <c r="L29" s="271">
        <v>0</v>
      </c>
      <c r="M29" s="271">
        <v>0</v>
      </c>
      <c r="N29" s="271">
        <v>0</v>
      </c>
      <c r="O29" s="271">
        <v>0</v>
      </c>
    </row>
    <row r="30" spans="2:15" x14ac:dyDescent="0.3">
      <c r="B30" s="271" t="s">
        <v>115</v>
      </c>
      <c r="C30" s="271"/>
      <c r="D30" s="271"/>
      <c r="E30" s="271"/>
      <c r="F30" s="271"/>
      <c r="G30" s="271"/>
      <c r="H30" s="271"/>
      <c r="I30" s="271"/>
      <c r="J30" s="271"/>
      <c r="K30" s="271">
        <v>0</v>
      </c>
      <c r="L30" s="271">
        <v>0</v>
      </c>
      <c r="M30" s="271">
        <v>0</v>
      </c>
      <c r="N30" s="271">
        <v>0</v>
      </c>
      <c r="O30" s="271">
        <v>0</v>
      </c>
    </row>
    <row r="31" spans="2:15" x14ac:dyDescent="0.3">
      <c r="B31" s="271" t="s">
        <v>116</v>
      </c>
      <c r="C31" s="271"/>
      <c r="D31" s="271"/>
      <c r="E31" s="271"/>
      <c r="F31" s="271"/>
      <c r="G31" s="271"/>
      <c r="H31" s="271"/>
      <c r="I31" s="271"/>
      <c r="J31" s="271"/>
      <c r="K31" s="271">
        <v>0</v>
      </c>
      <c r="L31" s="271">
        <v>0</v>
      </c>
      <c r="M31" s="271">
        <v>0</v>
      </c>
      <c r="N31" s="271">
        <v>0</v>
      </c>
      <c r="O31" s="271">
        <v>0</v>
      </c>
    </row>
    <row r="32" spans="2:15" x14ac:dyDescent="0.3">
      <c r="B32" s="41" t="s">
        <v>117</v>
      </c>
      <c r="C32" s="48"/>
      <c r="D32" s="48"/>
      <c r="E32" s="48"/>
      <c r="F32" s="48"/>
      <c r="G32" s="48"/>
      <c r="H32" s="48"/>
      <c r="I32" s="48"/>
      <c r="J32" s="48"/>
      <c r="K32" s="49">
        <f>SUM(K28:K31)</f>
        <v>2644544</v>
      </c>
      <c r="L32" s="49">
        <f t="shared" ref="L32:O32" si="6">SUM(L28:L31)</f>
        <v>2947337</v>
      </c>
      <c r="M32" s="49">
        <f t="shared" si="6"/>
        <v>3359317</v>
      </c>
      <c r="N32" s="49">
        <f t="shared" si="6"/>
        <v>3922166</v>
      </c>
      <c r="O32" s="49">
        <f t="shared" si="6"/>
        <v>4510383</v>
      </c>
    </row>
    <row r="33" spans="2:15" x14ac:dyDescent="0.3">
      <c r="B33" s="38"/>
      <c r="C33" s="38"/>
      <c r="D33" s="38"/>
      <c r="E33" s="38"/>
      <c r="F33" s="38"/>
      <c r="G33" s="38"/>
      <c r="H33" s="38"/>
      <c r="I33" s="38"/>
      <c r="J33" s="38"/>
      <c r="K33" s="38"/>
      <c r="L33" s="38"/>
      <c r="M33" s="38"/>
      <c r="N33" s="38"/>
      <c r="O33" s="38"/>
    </row>
    <row r="34" spans="2:15" ht="15.6" x14ac:dyDescent="0.3">
      <c r="B34" s="348" t="s">
        <v>119</v>
      </c>
      <c r="C34" s="348"/>
      <c r="D34" s="348"/>
      <c r="E34" s="348"/>
      <c r="F34" s="348"/>
      <c r="G34" s="348"/>
      <c r="H34" s="348"/>
      <c r="I34" s="348"/>
      <c r="J34" s="348"/>
      <c r="K34" s="50">
        <f>K3</f>
        <v>44286</v>
      </c>
      <c r="L34" s="50">
        <f t="shared" ref="L34:O34" si="7">L3</f>
        <v>44651</v>
      </c>
      <c r="M34" s="50">
        <f t="shared" si="7"/>
        <v>45016</v>
      </c>
      <c r="N34" s="50">
        <f t="shared" si="7"/>
        <v>45382</v>
      </c>
      <c r="O34" s="50">
        <f t="shared" si="7"/>
        <v>45747</v>
      </c>
    </row>
    <row r="35" spans="2:15" x14ac:dyDescent="0.3">
      <c r="B35" s="271" t="s">
        <v>120</v>
      </c>
      <c r="C35" s="271"/>
      <c r="D35" s="271"/>
      <c r="E35" s="271"/>
      <c r="F35" s="271"/>
      <c r="G35" s="271"/>
      <c r="H35" s="271"/>
      <c r="I35" s="271"/>
      <c r="J35" s="271"/>
      <c r="K35" s="271">
        <v>0</v>
      </c>
      <c r="L35" s="271">
        <f>(L4/K4)-1</f>
        <v>8.8875505463305471E-2</v>
      </c>
      <c r="M35" s="271">
        <f t="shared" ref="M35:O35" si="8">(M4/L4)-1</f>
        <v>0.15231007930122975</v>
      </c>
      <c r="N35" s="271">
        <f t="shared" si="8"/>
        <v>0.14298772540263616</v>
      </c>
      <c r="O35" s="271">
        <f t="shared" si="8"/>
        <v>0.17296606392161595</v>
      </c>
    </row>
    <row r="36" spans="2:15" x14ac:dyDescent="0.3">
      <c r="B36" s="271" t="s">
        <v>121</v>
      </c>
      <c r="C36" s="271"/>
      <c r="D36" s="271"/>
      <c r="E36" s="271"/>
      <c r="F36" s="271"/>
      <c r="G36" s="271"/>
      <c r="H36" s="271"/>
      <c r="I36" s="271"/>
      <c r="J36" s="271"/>
      <c r="K36" s="271">
        <f>'Ratio analysis'!C15</f>
        <v>0.42777038687185498</v>
      </c>
      <c r="L36" s="271">
        <f>'Ratio analysis'!D15</f>
        <v>0.38442289809948699</v>
      </c>
      <c r="M36" s="271">
        <f>'Ratio analysis'!E15</f>
        <v>0.39909215581824981</v>
      </c>
      <c r="N36" s="271">
        <f>'Ratio analysis'!F15</f>
        <v>0.42055510850848737</v>
      </c>
      <c r="O36" s="271">
        <f>'Ratio analysis'!G15</f>
        <v>0.41657645761414419</v>
      </c>
    </row>
    <row r="37" spans="2:15" x14ac:dyDescent="0.3">
      <c r="B37" s="271" t="s">
        <v>122</v>
      </c>
      <c r="C37" s="271"/>
      <c r="D37" s="271"/>
      <c r="E37" s="271"/>
      <c r="F37" s="271"/>
      <c r="G37" s="271"/>
      <c r="H37" s="271"/>
      <c r="I37" s="271"/>
      <c r="J37" s="271"/>
      <c r="K37" s="271">
        <f>'Forecasts &amp; support schedules'!D33/'Forecasts &amp; support schedules'!D27</f>
        <v>0.21055430846362619</v>
      </c>
      <c r="L37" s="271">
        <f>'Forecasts &amp; support schedules'!E33/'Forecasts &amp; support schedules'!E27</f>
        <v>0.18185866828264255</v>
      </c>
      <c r="M37" s="271">
        <f>'Forecasts &amp; support schedules'!F33/'Forecasts &amp; support schedules'!F27</f>
        <v>0.18432410377305028</v>
      </c>
      <c r="N37" s="271">
        <f>'Forecasts &amp; support schedules'!G33/'Forecasts &amp; support schedules'!G27</f>
        <v>0.19222346337692911</v>
      </c>
      <c r="O37" s="271">
        <f>'Forecasts &amp; support schedules'!H33/'Forecasts &amp; support schedules'!H27</f>
        <v>0.2175132227943094</v>
      </c>
    </row>
    <row r="38" spans="2:15" x14ac:dyDescent="0.3">
      <c r="B38" s="271" t="s">
        <v>123</v>
      </c>
      <c r="C38" s="271"/>
      <c r="D38" s="271"/>
      <c r="E38" s="271"/>
      <c r="F38" s="271"/>
      <c r="G38" s="271"/>
      <c r="H38" s="271"/>
      <c r="I38" s="271"/>
      <c r="J38" s="271"/>
      <c r="K38" s="271">
        <f>'Forecasts &amp; support schedules'!D35/'Forecasts &amp; support schedules'!D27</f>
        <v>0.18450663866101907</v>
      </c>
      <c r="L38" s="271">
        <f>'Forecasts &amp; support schedules'!E35/'Forecasts &amp; support schedules'!E27</f>
        <v>0.15703262947832539</v>
      </c>
      <c r="M38" s="271">
        <f>'Forecasts &amp; support schedules'!F35/'Forecasts &amp; support schedules'!F27</f>
        <v>0.16121034557015107</v>
      </c>
      <c r="N38" s="271">
        <f>'Forecasts &amp; support schedules'!G35/'Forecasts &amp; support schedules'!G27</f>
        <v>0.17177515036399216</v>
      </c>
      <c r="O38" s="271">
        <f>'Forecasts &amp; support schedules'!H35/'Forecasts &amp; support schedules'!H27</f>
        <v>0.19910169959349919</v>
      </c>
    </row>
    <row r="39" spans="2:15" x14ac:dyDescent="0.3">
      <c r="B39" s="271" t="s">
        <v>124</v>
      </c>
      <c r="C39" s="271"/>
      <c r="D39" s="271"/>
      <c r="E39" s="271"/>
      <c r="F39" s="271"/>
      <c r="G39" s="271"/>
      <c r="H39" s="271"/>
      <c r="I39" s="271"/>
      <c r="J39" s="271"/>
      <c r="K39" s="271">
        <f>'Forecasts &amp; support schedules'!D44/'Forecasts &amp; support schedules'!D27</f>
        <v>0.13754574678448189</v>
      </c>
      <c r="L39" s="271">
        <f>'Forecasts &amp; support schedules'!E44/'Forecasts &amp; support schedules'!E27</f>
        <v>0.10587406358725747</v>
      </c>
      <c r="M39" s="271">
        <f>'Forecasts &amp; support schedules'!F44/'Forecasts &amp; support schedules'!F27</f>
        <v>0.13709863880042161</v>
      </c>
      <c r="N39" s="271">
        <f>'Forecasts &amp; support schedules'!G44/'Forecasts &amp; support schedules'!G27</f>
        <v>0.13033611824651117</v>
      </c>
      <c r="O39" s="271">
        <f>'Forecasts &amp; support schedules'!H44/'Forecasts &amp; support schedules'!H27</f>
        <v>0.15839751526015924</v>
      </c>
    </row>
    <row r="40" spans="2:15" x14ac:dyDescent="0.3">
      <c r="B40" s="271" t="s">
        <v>125</v>
      </c>
      <c r="C40" s="271"/>
      <c r="D40" s="271"/>
      <c r="E40" s="271"/>
      <c r="F40" s="271"/>
      <c r="G40" s="271"/>
      <c r="H40" s="271"/>
      <c r="I40" s="271"/>
      <c r="J40" s="271"/>
      <c r="K40" s="271">
        <f>'Ratio analysis'!C25</f>
        <v>0.44365219380049764</v>
      </c>
      <c r="L40" s="271">
        <f>'Ratio analysis'!D25</f>
        <v>0.44130244703794147</v>
      </c>
      <c r="M40" s="271">
        <f>'Ratio analysis'!E25</f>
        <v>0.47044319373508786</v>
      </c>
      <c r="N40" s="271">
        <f>'Ratio analysis'!F25</f>
        <v>0.50197991270486997</v>
      </c>
      <c r="O40" s="271">
        <f>'Ratio analysis'!G25</f>
        <v>0.57940074245944218</v>
      </c>
    </row>
    <row r="41" spans="2:15" x14ac:dyDescent="0.3">
      <c r="B41" s="271"/>
      <c r="C41" s="271"/>
      <c r="D41" s="271"/>
      <c r="E41" s="271"/>
      <c r="F41" s="271"/>
      <c r="G41" s="271"/>
      <c r="H41" s="271"/>
      <c r="I41" s="271"/>
      <c r="J41" s="271"/>
      <c r="K41" s="271"/>
      <c r="L41" s="271"/>
      <c r="M41" s="271"/>
      <c r="N41" s="271"/>
      <c r="O41" s="271"/>
    </row>
    <row r="42" spans="2:15" ht="16.2" thickBot="1" x14ac:dyDescent="0.35">
      <c r="B42" s="51"/>
      <c r="C42" s="38"/>
      <c r="D42" s="38"/>
      <c r="E42" s="38"/>
      <c r="F42" s="38"/>
      <c r="G42" s="38"/>
      <c r="H42" s="38"/>
      <c r="I42" s="38"/>
      <c r="J42" s="38"/>
      <c r="K42" s="38"/>
      <c r="L42" s="38"/>
      <c r="M42" s="38"/>
      <c r="N42" s="38"/>
      <c r="O42" s="38"/>
    </row>
    <row r="43" spans="2:15" ht="15" thickTop="1" x14ac:dyDescent="0.3">
      <c r="B43" s="38"/>
      <c r="C43" s="38"/>
      <c r="D43" s="38"/>
      <c r="E43" s="38"/>
      <c r="F43" s="38"/>
      <c r="G43" s="38"/>
      <c r="H43" s="38"/>
      <c r="I43" s="38"/>
      <c r="J43" s="38"/>
      <c r="K43" s="38"/>
      <c r="L43" s="38"/>
      <c r="M43" s="38"/>
      <c r="N43" s="38"/>
      <c r="O43" s="38"/>
    </row>
    <row r="44" spans="2:15" x14ac:dyDescent="0.3">
      <c r="B44" s="38"/>
      <c r="C44" s="38"/>
      <c r="D44" s="38"/>
      <c r="E44" s="38"/>
      <c r="F44" s="38"/>
      <c r="G44" s="38"/>
      <c r="H44" s="38"/>
      <c r="I44" s="38"/>
      <c r="J44" s="38"/>
      <c r="K44" s="38"/>
      <c r="L44" s="38"/>
      <c r="M44" s="38"/>
      <c r="N44" s="38"/>
      <c r="O44" s="38"/>
    </row>
    <row r="45" spans="2:15" x14ac:dyDescent="0.3">
      <c r="B45" s="38"/>
      <c r="C45" s="38"/>
      <c r="D45" s="38"/>
      <c r="E45" s="38"/>
      <c r="F45" s="38"/>
      <c r="G45" s="38"/>
      <c r="H45" s="38"/>
      <c r="I45" s="38"/>
      <c r="J45" s="38"/>
      <c r="K45" s="38"/>
      <c r="L45" s="38"/>
      <c r="M45" s="38"/>
      <c r="N45" s="38"/>
      <c r="O45" s="38"/>
    </row>
    <row r="46" spans="2:15" x14ac:dyDescent="0.3">
      <c r="B46" s="38"/>
      <c r="C46" s="38"/>
      <c r="D46" s="38"/>
      <c r="E46" s="38"/>
      <c r="F46" s="38"/>
      <c r="G46" s="38"/>
      <c r="H46" s="38"/>
      <c r="I46" s="38"/>
      <c r="J46" s="38"/>
      <c r="K46" s="38"/>
      <c r="L46" s="38"/>
      <c r="M46" s="38"/>
      <c r="N46" s="38"/>
      <c r="O46" s="38"/>
    </row>
    <row r="47" spans="2:15" x14ac:dyDescent="0.3">
      <c r="B47" s="38"/>
      <c r="C47" s="38"/>
      <c r="D47" s="38"/>
      <c r="E47" s="38"/>
      <c r="F47" s="38"/>
      <c r="G47" s="38"/>
      <c r="H47" s="38"/>
      <c r="I47" s="38"/>
      <c r="J47" s="38"/>
      <c r="K47" s="38"/>
      <c r="L47" s="38"/>
      <c r="M47" s="38"/>
      <c r="N47" s="38"/>
      <c r="O47" s="38"/>
    </row>
    <row r="48" spans="2:15" x14ac:dyDescent="0.3">
      <c r="B48" s="38"/>
      <c r="C48" s="38"/>
      <c r="D48" s="38"/>
      <c r="E48" s="38"/>
      <c r="F48" s="38"/>
      <c r="G48" s="38"/>
      <c r="H48" s="38"/>
      <c r="I48" s="38"/>
      <c r="J48" s="38"/>
      <c r="K48" s="38"/>
      <c r="L48" s="38"/>
      <c r="M48" s="38"/>
      <c r="N48" s="38"/>
      <c r="O48" s="38"/>
    </row>
    <row r="49" spans="2:15" x14ac:dyDescent="0.3">
      <c r="B49" s="38"/>
      <c r="C49" s="38"/>
      <c r="D49" s="38"/>
      <c r="E49" s="38"/>
      <c r="F49" s="38"/>
      <c r="G49" s="38"/>
      <c r="H49" s="38"/>
      <c r="I49" s="38"/>
      <c r="J49" s="38"/>
      <c r="K49" s="38"/>
      <c r="L49" s="38"/>
      <c r="M49" s="38"/>
      <c r="N49" s="38"/>
      <c r="O49" s="38"/>
    </row>
    <row r="50" spans="2:15" x14ac:dyDescent="0.3">
      <c r="B50" s="38"/>
      <c r="C50" s="38"/>
      <c r="D50" s="38"/>
      <c r="E50" s="38"/>
      <c r="F50" s="38"/>
      <c r="G50" s="38"/>
      <c r="H50" s="38"/>
      <c r="I50" s="38"/>
      <c r="J50" s="38"/>
      <c r="K50" s="38"/>
      <c r="L50" s="38"/>
      <c r="M50" s="38"/>
      <c r="N50" s="38"/>
      <c r="O50" s="38"/>
    </row>
    <row r="51" spans="2:15" x14ac:dyDescent="0.3">
      <c r="B51" s="38"/>
      <c r="C51" s="38"/>
      <c r="D51" s="38"/>
      <c r="E51" s="38"/>
      <c r="F51" s="38"/>
      <c r="G51" s="38"/>
      <c r="H51" s="38"/>
      <c r="I51" s="38"/>
      <c r="J51" s="38"/>
      <c r="K51" s="38"/>
      <c r="L51" s="38"/>
      <c r="M51" s="38"/>
      <c r="N51" s="38"/>
      <c r="O51" s="38"/>
    </row>
    <row r="52" spans="2:15" x14ac:dyDescent="0.3">
      <c r="B52" s="38"/>
      <c r="C52" s="38"/>
      <c r="D52" s="38"/>
      <c r="E52" s="38"/>
      <c r="F52" s="38"/>
      <c r="G52" s="38"/>
      <c r="H52" s="38"/>
      <c r="I52" s="38"/>
      <c r="J52" s="38"/>
      <c r="K52" s="38"/>
      <c r="L52" s="38"/>
      <c r="M52" s="38"/>
      <c r="N52" s="38"/>
      <c r="O52" s="38"/>
    </row>
    <row r="53" spans="2:15" x14ac:dyDescent="0.3">
      <c r="B53" s="38"/>
      <c r="C53" s="38"/>
      <c r="D53" s="38"/>
      <c r="E53" s="38"/>
      <c r="F53" s="38"/>
      <c r="G53" s="38"/>
      <c r="H53" s="38"/>
      <c r="I53" s="38"/>
      <c r="J53" s="38"/>
      <c r="K53" s="38"/>
      <c r="L53" s="38"/>
      <c r="M53" s="38"/>
      <c r="N53" s="38"/>
      <c r="O53" s="38"/>
    </row>
  </sheetData>
  <mergeCells count="4">
    <mergeCell ref="E1:O1"/>
    <mergeCell ref="B3:F3"/>
    <mergeCell ref="B34:J34"/>
    <mergeCell ref="B2:F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789D-F979-4F67-8DE7-DD349D6D354E}">
  <dimension ref="A1:Q86"/>
  <sheetViews>
    <sheetView showGridLines="0" zoomScale="27" zoomScaleNormal="27" workbookViewId="0">
      <pane ySplit="3" topLeftCell="A4" activePane="bottomLeft" state="frozen"/>
      <selection pane="bottomLeft" activeCell="AA27" sqref="AA27"/>
    </sheetView>
  </sheetViews>
  <sheetFormatPr defaultRowHeight="14.4" x14ac:dyDescent="0.3"/>
  <cols>
    <col min="1" max="1" width="2.33203125" customWidth="1"/>
    <col min="10" max="10" width="20.5546875" customWidth="1"/>
    <col min="11" max="11" width="17.44140625" bestFit="1" customWidth="1"/>
    <col min="12" max="12" width="17.88671875" bestFit="1" customWidth="1"/>
    <col min="13" max="15" width="18.33203125" bestFit="1" customWidth="1"/>
  </cols>
  <sheetData>
    <row r="1" spans="1:17" ht="62.4" x14ac:dyDescent="1.2">
      <c r="A1" s="35"/>
      <c r="B1" s="35"/>
      <c r="C1" s="35"/>
      <c r="D1" s="35"/>
      <c r="E1" s="334" t="s">
        <v>93</v>
      </c>
      <c r="F1" s="334"/>
      <c r="G1" s="334"/>
      <c r="H1" s="334"/>
      <c r="I1" s="334"/>
      <c r="J1" s="334"/>
      <c r="K1" s="334"/>
      <c r="L1" s="334"/>
      <c r="M1" s="334"/>
      <c r="N1" s="334"/>
      <c r="O1" s="334"/>
      <c r="P1" s="33"/>
      <c r="Q1" s="33"/>
    </row>
    <row r="2" spans="1:17" x14ac:dyDescent="0.3">
      <c r="B2" s="349" t="s">
        <v>254</v>
      </c>
      <c r="C2" s="349"/>
      <c r="D2" s="349"/>
      <c r="E2" s="349"/>
      <c r="F2" s="349"/>
    </row>
    <row r="3" spans="1:17" ht="19.95" customHeight="1" x14ac:dyDescent="0.35">
      <c r="A3" t="s">
        <v>94</v>
      </c>
      <c r="B3" s="97" t="s">
        <v>40</v>
      </c>
      <c r="C3" s="55"/>
      <c r="D3" s="55"/>
      <c r="E3" s="56"/>
      <c r="F3" s="57"/>
      <c r="G3" s="57"/>
      <c r="H3" s="57"/>
      <c r="I3" s="57"/>
      <c r="J3" s="57"/>
      <c r="K3" s="36">
        <f>'Data Sheet'!G16</f>
        <v>44286</v>
      </c>
      <c r="L3" s="36">
        <f>'Data Sheet'!H16</f>
        <v>44651</v>
      </c>
      <c r="M3" s="36">
        <f>'Data Sheet'!I16</f>
        <v>45016</v>
      </c>
      <c r="N3" s="36">
        <f>'Data Sheet'!J16</f>
        <v>45382</v>
      </c>
      <c r="O3" s="36">
        <f>'Data Sheet'!K16</f>
        <v>45747</v>
      </c>
    </row>
    <row r="4" spans="1:17" s="73" customFormat="1" ht="19.95" customHeight="1" x14ac:dyDescent="0.3">
      <c r="A4" s="67" t="s">
        <v>188</v>
      </c>
      <c r="B4" s="68"/>
      <c r="C4" s="68"/>
      <c r="D4" s="68"/>
      <c r="E4" s="69"/>
      <c r="F4" s="70"/>
      <c r="G4" s="70"/>
      <c r="H4" s="70"/>
      <c r="I4" s="70"/>
      <c r="J4" s="70"/>
      <c r="K4" s="71"/>
      <c r="L4" s="71"/>
      <c r="M4" s="71"/>
      <c r="N4" s="71"/>
      <c r="O4" s="72"/>
    </row>
    <row r="5" spans="1:17" ht="18" x14ac:dyDescent="0.35">
      <c r="B5" s="98" t="s">
        <v>126</v>
      </c>
      <c r="C5" s="74"/>
      <c r="D5" s="54"/>
      <c r="E5" s="54"/>
      <c r="F5" s="54"/>
      <c r="G5" s="54"/>
      <c r="H5" s="54"/>
      <c r="I5" s="54"/>
      <c r="J5" s="54"/>
      <c r="K5" s="36"/>
      <c r="L5" s="36"/>
      <c r="M5" s="36"/>
      <c r="N5" s="36"/>
      <c r="O5" s="36"/>
    </row>
    <row r="6" spans="1:17" ht="15.6" x14ac:dyDescent="0.3">
      <c r="B6" s="75" t="s">
        <v>127</v>
      </c>
      <c r="C6" s="76"/>
      <c r="D6" s="77"/>
      <c r="E6" s="77"/>
      <c r="F6" s="77"/>
      <c r="G6" s="77"/>
      <c r="H6" s="77"/>
      <c r="I6" s="77"/>
      <c r="J6" s="77"/>
      <c r="K6" s="78"/>
      <c r="L6" s="78"/>
      <c r="M6" s="78"/>
      <c r="N6" s="78"/>
      <c r="O6" s="79"/>
    </row>
    <row r="7" spans="1:17" x14ac:dyDescent="0.3">
      <c r="B7" s="271" t="s">
        <v>128</v>
      </c>
      <c r="C7" s="271"/>
      <c r="D7" s="271"/>
      <c r="E7" s="271"/>
      <c r="F7" s="271"/>
      <c r="G7" s="271"/>
      <c r="H7" s="271"/>
      <c r="I7" s="271"/>
      <c r="J7" s="271"/>
      <c r="K7" s="271">
        <v>248550</v>
      </c>
      <c r="L7" s="271">
        <v>250937</v>
      </c>
      <c r="M7" s="271">
        <v>269431</v>
      </c>
      <c r="N7" s="271">
        <v>278847</v>
      </c>
      <c r="O7" s="271">
        <v>320453</v>
      </c>
    </row>
    <row r="8" spans="1:17" x14ac:dyDescent="0.3">
      <c r="B8" s="271" t="s">
        <v>129</v>
      </c>
      <c r="C8" s="271"/>
      <c r="D8" s="271"/>
      <c r="E8" s="271"/>
      <c r="F8" s="271"/>
      <c r="G8" s="271"/>
      <c r="H8" s="271"/>
      <c r="I8" s="271"/>
      <c r="J8" s="271"/>
      <c r="K8" s="271">
        <v>39747</v>
      </c>
      <c r="L8" s="271">
        <v>44593</v>
      </c>
      <c r="M8" s="271">
        <v>36123</v>
      </c>
      <c r="N8" s="271">
        <v>45642</v>
      </c>
      <c r="O8" s="271">
        <v>47698</v>
      </c>
    </row>
    <row r="9" spans="1:17" x14ac:dyDescent="0.3">
      <c r="B9" s="271" t="s">
        <v>130</v>
      </c>
      <c r="C9" s="271"/>
      <c r="D9" s="271"/>
      <c r="E9" s="271"/>
      <c r="F9" s="271"/>
      <c r="G9" s="271"/>
      <c r="H9" s="271"/>
      <c r="I9" s="271"/>
      <c r="J9" s="271"/>
      <c r="K9" s="271">
        <v>8</v>
      </c>
      <c r="L9" s="271">
        <v>7</v>
      </c>
      <c r="M9" s="271">
        <v>6</v>
      </c>
      <c r="N9" s="271">
        <v>4</v>
      </c>
      <c r="O9" s="271">
        <v>4</v>
      </c>
    </row>
    <row r="10" spans="1:17" x14ac:dyDescent="0.3">
      <c r="B10" s="271" t="s">
        <v>131</v>
      </c>
      <c r="C10" s="271"/>
      <c r="D10" s="271"/>
      <c r="E10" s="271"/>
      <c r="F10" s="271"/>
      <c r="G10" s="271"/>
      <c r="H10" s="271"/>
      <c r="I10" s="271"/>
      <c r="J10" s="271"/>
      <c r="K10" s="271">
        <v>0</v>
      </c>
      <c r="L10" s="271">
        <v>0</v>
      </c>
      <c r="M10" s="271">
        <v>0</v>
      </c>
      <c r="N10" s="271">
        <v>0</v>
      </c>
      <c r="O10" s="271">
        <v>0</v>
      </c>
    </row>
    <row r="11" spans="1:17" x14ac:dyDescent="0.3">
      <c r="B11" s="271" t="s">
        <v>132</v>
      </c>
      <c r="C11" s="271"/>
      <c r="D11" s="271"/>
      <c r="E11" s="271"/>
      <c r="F11" s="271"/>
      <c r="G11" s="271"/>
      <c r="H11" s="271"/>
      <c r="I11" s="271"/>
      <c r="J11" s="271"/>
      <c r="K11" s="271">
        <v>16656</v>
      </c>
      <c r="L11" s="271">
        <v>16582</v>
      </c>
      <c r="M11" s="271">
        <v>26849</v>
      </c>
      <c r="N11" s="271">
        <v>24670</v>
      </c>
      <c r="O11" s="271">
        <v>21466</v>
      </c>
    </row>
    <row r="12" spans="1:17" x14ac:dyDescent="0.3">
      <c r="B12" s="271" t="s">
        <v>133</v>
      </c>
      <c r="C12" s="271"/>
      <c r="D12" s="271"/>
      <c r="E12" s="271"/>
      <c r="F12" s="271"/>
      <c r="G12" s="271"/>
      <c r="H12" s="271"/>
      <c r="I12" s="271"/>
      <c r="J12" s="271"/>
      <c r="K12" s="271">
        <v>48521</v>
      </c>
      <c r="L12" s="271">
        <v>56011</v>
      </c>
      <c r="M12" s="271">
        <v>49371</v>
      </c>
      <c r="N12" s="271">
        <v>43730</v>
      </c>
      <c r="O12" s="271">
        <v>57482</v>
      </c>
    </row>
    <row r="13" spans="1:17" x14ac:dyDescent="0.3">
      <c r="B13" s="271" t="s">
        <v>134</v>
      </c>
      <c r="C13" s="271"/>
      <c r="D13" s="271"/>
      <c r="E13" s="271"/>
      <c r="F13" s="271"/>
      <c r="G13" s="271"/>
      <c r="H13" s="271"/>
      <c r="I13" s="271"/>
      <c r="J13" s="271"/>
      <c r="K13" s="271">
        <v>18989</v>
      </c>
      <c r="L13" s="271">
        <v>23292</v>
      </c>
      <c r="M13" s="271">
        <v>20073</v>
      </c>
      <c r="N13" s="271">
        <v>15157</v>
      </c>
      <c r="O13" s="271">
        <v>16136</v>
      </c>
    </row>
    <row r="14" spans="1:17" x14ac:dyDescent="0.3">
      <c r="B14" s="271" t="s">
        <v>135</v>
      </c>
      <c r="C14" s="271"/>
      <c r="D14" s="271"/>
      <c r="E14" s="271"/>
      <c r="F14" s="271"/>
      <c r="G14" s="271"/>
      <c r="H14" s="271"/>
      <c r="I14" s="271"/>
      <c r="J14" s="271"/>
      <c r="K14" s="271"/>
      <c r="L14" s="271"/>
      <c r="M14" s="271"/>
      <c r="N14" s="271"/>
      <c r="O14" s="271"/>
    </row>
    <row r="15" spans="1:17" x14ac:dyDescent="0.3">
      <c r="B15" s="271" t="s">
        <v>136</v>
      </c>
      <c r="C15" s="271"/>
      <c r="D15" s="271"/>
      <c r="E15" s="271"/>
      <c r="F15" s="271"/>
      <c r="G15" s="271"/>
      <c r="H15" s="271"/>
      <c r="I15" s="271"/>
      <c r="J15" s="271"/>
      <c r="K15" s="271">
        <v>111605</v>
      </c>
      <c r="L15" s="271">
        <v>133910</v>
      </c>
      <c r="M15" s="271">
        <v>44926</v>
      </c>
      <c r="N15" s="271">
        <v>53066</v>
      </c>
      <c r="O15" s="271">
        <v>58161</v>
      </c>
    </row>
    <row r="16" spans="1:17" x14ac:dyDescent="0.3">
      <c r="B16" s="271" t="s">
        <v>137</v>
      </c>
      <c r="C16" s="271"/>
      <c r="D16" s="271"/>
      <c r="E16" s="271"/>
      <c r="F16" s="271"/>
      <c r="G16" s="271"/>
      <c r="H16" s="271"/>
      <c r="I16" s="271"/>
      <c r="J16" s="271"/>
      <c r="K16" s="271">
        <v>0</v>
      </c>
      <c r="L16" s="271">
        <v>0</v>
      </c>
      <c r="M16" s="271">
        <v>0</v>
      </c>
      <c r="N16" s="271">
        <v>0</v>
      </c>
      <c r="O16" s="271">
        <v>0</v>
      </c>
    </row>
    <row r="17" spans="2:15" x14ac:dyDescent="0.3">
      <c r="B17" s="271" t="s">
        <v>138</v>
      </c>
      <c r="C17" s="271"/>
      <c r="D17" s="271"/>
      <c r="E17" s="271"/>
      <c r="F17" s="271"/>
      <c r="G17" s="271"/>
      <c r="H17" s="271"/>
      <c r="I17" s="271"/>
      <c r="J17" s="271"/>
      <c r="K17" s="271">
        <v>0</v>
      </c>
      <c r="L17" s="271">
        <v>0</v>
      </c>
      <c r="M17" s="271">
        <v>0</v>
      </c>
      <c r="N17" s="271">
        <v>0</v>
      </c>
      <c r="O17" s="271">
        <v>0</v>
      </c>
    </row>
    <row r="18" spans="2:15" x14ac:dyDescent="0.3">
      <c r="B18" s="271" t="s">
        <v>139</v>
      </c>
      <c r="C18" s="271"/>
      <c r="D18" s="271"/>
      <c r="E18" s="271"/>
      <c r="F18" s="271"/>
      <c r="G18" s="271"/>
      <c r="H18" s="271"/>
      <c r="I18" s="271"/>
      <c r="J18" s="271"/>
      <c r="K18" s="271">
        <v>736</v>
      </c>
      <c r="L18" s="271">
        <v>728</v>
      </c>
      <c r="M18" s="271">
        <v>656</v>
      </c>
      <c r="N18" s="271">
        <v>703</v>
      </c>
      <c r="O18" s="271">
        <v>663</v>
      </c>
    </row>
    <row r="19" spans="2:15" x14ac:dyDescent="0.3">
      <c r="B19" s="271" t="s">
        <v>140</v>
      </c>
      <c r="C19" s="271"/>
      <c r="D19" s="271"/>
      <c r="E19" s="271"/>
      <c r="F19" s="271"/>
      <c r="G19" s="271"/>
      <c r="H19" s="271"/>
      <c r="I19" s="271"/>
      <c r="J19" s="271"/>
      <c r="K19" s="271">
        <v>2871</v>
      </c>
      <c r="L19" s="271">
        <v>2417</v>
      </c>
      <c r="M19" s="271">
        <v>2045</v>
      </c>
      <c r="N19" s="271">
        <v>1883</v>
      </c>
      <c r="O19" s="271">
        <v>2415</v>
      </c>
    </row>
    <row r="20" spans="2:15" x14ac:dyDescent="0.3">
      <c r="B20" s="271" t="s">
        <v>141</v>
      </c>
      <c r="C20" s="271"/>
      <c r="D20" s="271"/>
      <c r="E20" s="271"/>
      <c r="F20" s="271"/>
      <c r="G20" s="271"/>
      <c r="H20" s="271"/>
      <c r="I20" s="271"/>
      <c r="J20" s="271"/>
      <c r="K20" s="271">
        <v>46346</v>
      </c>
      <c r="L20" s="271">
        <v>62094</v>
      </c>
      <c r="M20" s="271">
        <v>50372</v>
      </c>
      <c r="N20" s="271">
        <v>57468</v>
      </c>
      <c r="O20" s="271">
        <v>53484</v>
      </c>
    </row>
    <row r="21" spans="2:15" x14ac:dyDescent="0.3">
      <c r="B21" s="271" t="s">
        <v>189</v>
      </c>
      <c r="C21" s="271"/>
      <c r="D21" s="271"/>
      <c r="E21" s="271"/>
      <c r="F21" s="271"/>
      <c r="G21" s="271"/>
      <c r="H21" s="271"/>
      <c r="I21" s="271"/>
      <c r="J21" s="271"/>
      <c r="K21" s="271">
        <v>3938</v>
      </c>
      <c r="L21" s="271">
        <v>2734</v>
      </c>
      <c r="M21" s="271">
        <v>587</v>
      </c>
      <c r="N21" s="271">
        <v>0</v>
      </c>
      <c r="O21" s="271">
        <v>0</v>
      </c>
    </row>
    <row r="22" spans="2:15" x14ac:dyDescent="0.3">
      <c r="B22" s="271" t="s">
        <v>190</v>
      </c>
      <c r="C22" s="271"/>
      <c r="D22" s="271"/>
      <c r="E22" s="271"/>
      <c r="F22" s="271"/>
      <c r="G22" s="271"/>
      <c r="H22" s="271"/>
      <c r="I22" s="271"/>
      <c r="J22" s="271"/>
      <c r="K22" s="271">
        <v>39669</v>
      </c>
      <c r="L22" s="271">
        <v>68382</v>
      </c>
      <c r="M22" s="271">
        <v>43904</v>
      </c>
      <c r="N22" s="271">
        <v>25200</v>
      </c>
      <c r="O22" s="271">
        <v>19436</v>
      </c>
    </row>
    <row r="23" spans="2:15" ht="15.6" x14ac:dyDescent="0.3">
      <c r="B23" s="75" t="s">
        <v>142</v>
      </c>
      <c r="C23" s="80"/>
      <c r="D23" s="77"/>
      <c r="E23" s="77"/>
      <c r="F23" s="77"/>
      <c r="G23" s="77"/>
      <c r="H23" s="77"/>
      <c r="I23" s="77"/>
      <c r="J23" s="77"/>
      <c r="K23" s="101">
        <f>SUM(K7:K22)</f>
        <v>577636</v>
      </c>
      <c r="L23" s="101">
        <f>SUM(L7:L22)</f>
        <v>661687</v>
      </c>
      <c r="M23" s="101">
        <f>SUM(M7:M22)</f>
        <v>544343</v>
      </c>
      <c r="N23" s="101">
        <f>SUM(N7:N22)</f>
        <v>546370</v>
      </c>
      <c r="O23" s="102">
        <f>SUM(O7:O22)</f>
        <v>597398</v>
      </c>
    </row>
    <row r="24" spans="2:15" ht="15.6" x14ac:dyDescent="0.3">
      <c r="B24" s="62"/>
      <c r="C24" s="59"/>
      <c r="K24" s="60"/>
      <c r="L24" s="60"/>
      <c r="M24" s="60"/>
      <c r="N24" s="60"/>
      <c r="O24" s="61"/>
    </row>
    <row r="25" spans="2:15" ht="15.6" x14ac:dyDescent="0.3">
      <c r="B25" s="75" t="s">
        <v>143</v>
      </c>
      <c r="C25" s="81"/>
      <c r="D25" s="77"/>
      <c r="E25" s="77"/>
      <c r="F25" s="77"/>
      <c r="G25" s="77"/>
      <c r="H25" s="77"/>
      <c r="I25" s="77"/>
      <c r="J25" s="77"/>
      <c r="K25" s="82"/>
      <c r="L25" s="82"/>
      <c r="M25" s="82"/>
      <c r="N25" s="82"/>
      <c r="O25" s="83"/>
    </row>
    <row r="26" spans="2:15" x14ac:dyDescent="0.3">
      <c r="B26" s="271" t="s">
        <v>144</v>
      </c>
      <c r="C26" s="271"/>
      <c r="D26" s="271"/>
      <c r="E26" s="271"/>
      <c r="F26" s="271"/>
      <c r="G26" s="271"/>
      <c r="H26" s="271"/>
      <c r="I26" s="271"/>
      <c r="J26" s="271"/>
      <c r="K26" s="271">
        <v>496798</v>
      </c>
      <c r="L26" s="271">
        <v>559190</v>
      </c>
      <c r="M26" s="271">
        <v>644804</v>
      </c>
      <c r="N26" s="271">
        <v>744689</v>
      </c>
      <c r="O26" s="271">
        <v>911898</v>
      </c>
    </row>
    <row r="27" spans="2:15" x14ac:dyDescent="0.3">
      <c r="B27" s="271" t="s">
        <v>145</v>
      </c>
      <c r="C27" s="271"/>
      <c r="D27" s="271"/>
      <c r="E27" s="271"/>
      <c r="F27" s="271"/>
      <c r="G27" s="271"/>
      <c r="H27" s="271"/>
      <c r="I27" s="271"/>
      <c r="J27" s="271"/>
      <c r="K27" s="271"/>
      <c r="L27" s="271"/>
      <c r="M27" s="271"/>
      <c r="N27" s="271"/>
      <c r="O27" s="271"/>
    </row>
    <row r="28" spans="2:15" x14ac:dyDescent="0.3">
      <c r="B28" s="271" t="s">
        <v>136</v>
      </c>
      <c r="C28" s="271"/>
      <c r="D28" s="271"/>
      <c r="E28" s="271"/>
      <c r="F28" s="271"/>
      <c r="G28" s="271"/>
      <c r="H28" s="271"/>
      <c r="I28" s="271"/>
      <c r="J28" s="271"/>
      <c r="K28" s="271"/>
      <c r="L28" s="271"/>
      <c r="M28" s="271"/>
      <c r="N28" s="271"/>
      <c r="O28" s="271"/>
    </row>
    <row r="29" spans="2:15" x14ac:dyDescent="0.3">
      <c r="B29" s="271" t="s">
        <v>146</v>
      </c>
      <c r="C29" s="271"/>
      <c r="D29" s="271"/>
      <c r="E29" s="271"/>
      <c r="F29" s="271"/>
      <c r="G29" s="271"/>
      <c r="H29" s="271"/>
      <c r="I29" s="271"/>
      <c r="J29" s="271"/>
      <c r="K29" s="271">
        <v>656199</v>
      </c>
      <c r="L29" s="271">
        <v>610809</v>
      </c>
      <c r="M29" s="271">
        <v>703348</v>
      </c>
      <c r="N29" s="271">
        <v>739238</v>
      </c>
      <c r="O29" s="271">
        <v>911637</v>
      </c>
    </row>
    <row r="30" spans="2:15" x14ac:dyDescent="0.3">
      <c r="B30" s="271" t="s">
        <v>138</v>
      </c>
      <c r="C30" s="271"/>
      <c r="D30" s="271"/>
      <c r="E30" s="271"/>
      <c r="F30" s="271"/>
      <c r="G30" s="271"/>
      <c r="H30" s="271"/>
      <c r="I30" s="271"/>
      <c r="J30" s="271"/>
      <c r="K30" s="271"/>
      <c r="L30" s="271"/>
      <c r="M30" s="271"/>
      <c r="N30" s="271"/>
      <c r="O30" s="271"/>
    </row>
    <row r="31" spans="2:15" x14ac:dyDescent="0.3">
      <c r="B31" s="271" t="s">
        <v>147</v>
      </c>
      <c r="C31" s="271"/>
      <c r="D31" s="271"/>
      <c r="E31" s="271"/>
      <c r="F31" s="271"/>
      <c r="G31" s="271"/>
      <c r="H31" s="271"/>
      <c r="I31" s="271"/>
      <c r="J31" s="271"/>
      <c r="K31" s="271">
        <v>304290</v>
      </c>
      <c r="L31" s="271">
        <v>130086</v>
      </c>
      <c r="M31" s="271">
        <v>394569</v>
      </c>
      <c r="N31" s="271">
        <v>120632</v>
      </c>
      <c r="O31" s="271">
        <v>71345</v>
      </c>
    </row>
    <row r="32" spans="2:15" x14ac:dyDescent="0.3">
      <c r="B32" s="271" t="s">
        <v>148</v>
      </c>
      <c r="C32" s="271"/>
      <c r="D32" s="271"/>
      <c r="E32" s="271"/>
      <c r="F32" s="271"/>
      <c r="G32" s="271"/>
      <c r="H32" s="271"/>
      <c r="I32" s="271"/>
      <c r="J32" s="271"/>
      <c r="K32" s="271">
        <v>203086</v>
      </c>
      <c r="L32" s="271">
        <v>626288</v>
      </c>
      <c r="M32" s="271">
        <v>416589</v>
      </c>
      <c r="N32" s="271">
        <v>985027</v>
      </c>
      <c r="O32" s="271">
        <v>883165</v>
      </c>
    </row>
    <row r="33" spans="2:15" x14ac:dyDescent="0.3">
      <c r="B33" s="271" t="s">
        <v>149</v>
      </c>
      <c r="C33" s="271"/>
      <c r="D33" s="271"/>
      <c r="E33" s="271"/>
      <c r="F33" s="271"/>
      <c r="G33" s="271"/>
      <c r="H33" s="271"/>
      <c r="I33" s="271"/>
      <c r="J33" s="271"/>
      <c r="K33" s="271">
        <v>152</v>
      </c>
      <c r="L33" s="271">
        <v>148</v>
      </c>
      <c r="M33" s="271">
        <v>172</v>
      </c>
      <c r="N33" s="271">
        <v>141</v>
      </c>
      <c r="O33" s="271">
        <v>147</v>
      </c>
    </row>
    <row r="34" spans="2:15" x14ac:dyDescent="0.3">
      <c r="B34" s="271" t="s">
        <v>150</v>
      </c>
      <c r="C34" s="271"/>
      <c r="D34" s="271"/>
      <c r="E34" s="271"/>
      <c r="F34" s="271"/>
      <c r="G34" s="271"/>
      <c r="H34" s="271"/>
      <c r="I34" s="271"/>
      <c r="J34" s="271"/>
      <c r="K34" s="271">
        <v>6066</v>
      </c>
      <c r="L34" s="271">
        <v>10254</v>
      </c>
      <c r="M34" s="271">
        <v>20342</v>
      </c>
      <c r="N34" s="271">
        <v>29440</v>
      </c>
      <c r="O34" s="271">
        <v>24133</v>
      </c>
    </row>
    <row r="35" spans="2:15" x14ac:dyDescent="0.3">
      <c r="B35" s="271" t="s">
        <v>151</v>
      </c>
      <c r="C35" s="271"/>
      <c r="D35" s="271"/>
      <c r="E35" s="271"/>
      <c r="F35" s="271"/>
      <c r="G35" s="271"/>
      <c r="H35" s="271"/>
      <c r="I35" s="271"/>
      <c r="J35" s="271"/>
      <c r="K35" s="271">
        <v>13364</v>
      </c>
      <c r="L35" s="271">
        <v>14474</v>
      </c>
      <c r="M35" s="271">
        <v>40314</v>
      </c>
      <c r="N35" s="271">
        <v>44961</v>
      </c>
      <c r="O35" s="271">
        <v>35362</v>
      </c>
    </row>
    <row r="36" spans="2:15" x14ac:dyDescent="0.3">
      <c r="B36" s="271" t="s">
        <v>152</v>
      </c>
      <c r="C36" s="271"/>
      <c r="D36" s="271"/>
      <c r="E36" s="271"/>
      <c r="F36" s="271"/>
      <c r="G36" s="271"/>
      <c r="H36" s="271"/>
      <c r="I36" s="271"/>
      <c r="J36" s="271"/>
      <c r="K36" s="271">
        <v>691376</v>
      </c>
      <c r="L36" s="271">
        <v>778122</v>
      </c>
      <c r="M36" s="271">
        <v>784636</v>
      </c>
      <c r="N36" s="271">
        <v>742170</v>
      </c>
      <c r="O36" s="271">
        <v>648101</v>
      </c>
    </row>
    <row r="37" spans="2:15" ht="15.6" x14ac:dyDescent="0.3">
      <c r="B37" s="75" t="s">
        <v>153</v>
      </c>
      <c r="C37" s="80"/>
      <c r="D37" s="77"/>
      <c r="E37" s="77"/>
      <c r="F37" s="77"/>
      <c r="G37" s="77"/>
      <c r="H37" s="77"/>
      <c r="I37" s="77"/>
      <c r="J37" s="77"/>
      <c r="K37" s="101">
        <f>SUM(K26:K36)</f>
        <v>2371331</v>
      </c>
      <c r="L37" s="101">
        <f>SUM(L26:L36)</f>
        <v>2729371</v>
      </c>
      <c r="M37" s="101">
        <f>SUM(M26:M36)</f>
        <v>3004774</v>
      </c>
      <c r="N37" s="101">
        <f>SUM(N26:N36)</f>
        <v>3406298</v>
      </c>
      <c r="O37" s="102">
        <f>SUM(O26:O36)</f>
        <v>3485788</v>
      </c>
    </row>
    <row r="38" spans="2:15" ht="15.6" x14ac:dyDescent="0.3">
      <c r="B38" s="62"/>
      <c r="C38" s="59"/>
      <c r="K38" s="60"/>
      <c r="L38" s="60"/>
      <c r="M38" s="60"/>
      <c r="N38" s="60"/>
      <c r="O38" s="61"/>
    </row>
    <row r="39" spans="2:15" x14ac:dyDescent="0.3">
      <c r="B39" s="271" t="s">
        <v>154</v>
      </c>
      <c r="C39" s="271"/>
      <c r="D39" s="271"/>
      <c r="E39" s="271"/>
      <c r="F39" s="271"/>
      <c r="G39" s="271"/>
      <c r="H39" s="271"/>
      <c r="I39" s="271"/>
      <c r="J39" s="271"/>
      <c r="K39" s="271">
        <v>0</v>
      </c>
      <c r="L39" s="271">
        <v>0</v>
      </c>
      <c r="M39" s="271">
        <v>81.099999999999994</v>
      </c>
      <c r="N39" s="271">
        <v>81.099999999999994</v>
      </c>
      <c r="O39" s="271">
        <v>0</v>
      </c>
    </row>
    <row r="40" spans="2:15" x14ac:dyDescent="0.3">
      <c r="B40" s="271" t="s">
        <v>155</v>
      </c>
      <c r="C40" s="271"/>
      <c r="D40" s="271"/>
      <c r="E40" s="271"/>
      <c r="F40" s="271"/>
      <c r="G40" s="271"/>
      <c r="H40" s="271"/>
      <c r="I40" s="271"/>
      <c r="J40" s="271"/>
      <c r="K40" s="271">
        <f>SUM(K23,K37,K39)</f>
        <v>2948967</v>
      </c>
      <c r="L40" s="271">
        <f>SUM(L23,L37,L39)</f>
        <v>3391058</v>
      </c>
      <c r="M40" s="271">
        <f>SUM(M23,M37,M39)</f>
        <v>3549198.1</v>
      </c>
      <c r="N40" s="271">
        <f>SUM(N23,N37,N39)</f>
        <v>3952749.1</v>
      </c>
      <c r="O40" s="271">
        <f>SUM(O23,O37,O39)</f>
        <v>4083186</v>
      </c>
    </row>
    <row r="41" spans="2:15" ht="15.6" x14ac:dyDescent="0.3">
      <c r="B41" s="58"/>
      <c r="C41" s="59"/>
      <c r="K41" s="64"/>
      <c r="L41" s="64"/>
      <c r="M41" s="64"/>
      <c r="N41" s="64"/>
      <c r="O41" s="65"/>
    </row>
    <row r="42" spans="2:15" ht="15.6" x14ac:dyDescent="0.3">
      <c r="B42" s="90" t="s">
        <v>156</v>
      </c>
      <c r="C42" s="91"/>
      <c r="D42" s="54"/>
      <c r="E42" s="54"/>
      <c r="F42" s="54"/>
      <c r="G42" s="54"/>
      <c r="H42" s="54"/>
      <c r="I42" s="54"/>
      <c r="J42" s="54"/>
      <c r="K42" s="103"/>
      <c r="L42" s="103"/>
      <c r="M42" s="103"/>
      <c r="N42" s="103"/>
      <c r="O42" s="103"/>
    </row>
    <row r="43" spans="2:15" ht="15.6" x14ac:dyDescent="0.3">
      <c r="B43" s="75" t="s">
        <v>157</v>
      </c>
      <c r="C43" s="81"/>
      <c r="D43" s="77"/>
      <c r="E43" s="77"/>
      <c r="F43" s="77"/>
      <c r="G43" s="77"/>
      <c r="H43" s="77"/>
      <c r="I43" s="77"/>
      <c r="J43" s="77"/>
      <c r="K43" s="84"/>
      <c r="L43" s="84"/>
      <c r="M43" s="84"/>
      <c r="N43" s="84"/>
      <c r="O43" s="85"/>
    </row>
    <row r="44" spans="2:15" x14ac:dyDescent="0.3">
      <c r="B44" s="271" t="s">
        <v>158</v>
      </c>
      <c r="C44" s="271"/>
      <c r="D44" s="271"/>
      <c r="E44" s="271"/>
      <c r="F44" s="271"/>
      <c r="G44" s="271"/>
      <c r="H44" s="271"/>
      <c r="I44" s="271"/>
      <c r="J44" s="271"/>
      <c r="K44" s="271">
        <v>24366</v>
      </c>
      <c r="L44" s="271">
        <v>24366</v>
      </c>
      <c r="M44" s="271">
        <v>73098</v>
      </c>
      <c r="N44" s="271">
        <v>73098</v>
      </c>
      <c r="O44" s="271">
        <v>73098</v>
      </c>
    </row>
    <row r="45" spans="2:15" x14ac:dyDescent="0.3">
      <c r="B45" s="271" t="s">
        <v>159</v>
      </c>
      <c r="C45" s="271"/>
      <c r="D45" s="271"/>
      <c r="E45" s="271"/>
      <c r="F45" s="271"/>
      <c r="G45" s="271"/>
      <c r="H45" s="271"/>
      <c r="I45" s="271"/>
      <c r="J45" s="271"/>
      <c r="K45" s="271">
        <v>1081592</v>
      </c>
      <c r="L45" s="271">
        <v>1204227</v>
      </c>
      <c r="M45" s="271">
        <v>1313065</v>
      </c>
      <c r="N45" s="271">
        <v>1559549</v>
      </c>
      <c r="O45" s="271">
        <v>1924291</v>
      </c>
    </row>
    <row r="46" spans="2:15" x14ac:dyDescent="0.3">
      <c r="B46" s="271" t="s">
        <v>160</v>
      </c>
      <c r="C46" s="271"/>
      <c r="D46" s="271"/>
      <c r="E46" s="271"/>
      <c r="F46" s="271"/>
      <c r="G46" s="271"/>
      <c r="H46" s="271"/>
      <c r="I46" s="271"/>
      <c r="J46" s="271"/>
      <c r="K46" s="271">
        <f>SUM(K44:K45)</f>
        <v>1105958</v>
      </c>
      <c r="L46" s="271">
        <f t="shared" ref="L46:O46" si="0">SUM(L44:L45)</f>
        <v>1228593</v>
      </c>
      <c r="M46" s="271">
        <f t="shared" si="0"/>
        <v>1386163</v>
      </c>
      <c r="N46" s="271">
        <f t="shared" si="0"/>
        <v>1632647</v>
      </c>
      <c r="O46" s="271">
        <f t="shared" si="0"/>
        <v>1997389</v>
      </c>
    </row>
    <row r="47" spans="2:15" x14ac:dyDescent="0.3">
      <c r="B47" s="271" t="s">
        <v>161</v>
      </c>
      <c r="C47" s="271"/>
      <c r="D47" s="271"/>
      <c r="E47" s="271"/>
      <c r="F47" s="271"/>
      <c r="G47" s="271"/>
      <c r="H47" s="271"/>
      <c r="I47" s="271"/>
      <c r="J47" s="271"/>
      <c r="K47" s="271">
        <v>1499</v>
      </c>
      <c r="L47" s="271">
        <v>1634</v>
      </c>
      <c r="M47" s="271">
        <v>1775</v>
      </c>
      <c r="N47" s="271">
        <v>1792</v>
      </c>
      <c r="O47" s="271">
        <v>1894</v>
      </c>
    </row>
    <row r="48" spans="2:15" ht="15.6" x14ac:dyDescent="0.3">
      <c r="B48" s="75" t="s">
        <v>162</v>
      </c>
      <c r="C48" s="80"/>
      <c r="D48" s="77"/>
      <c r="E48" s="77"/>
      <c r="F48" s="77"/>
      <c r="G48" s="77"/>
      <c r="H48" s="77"/>
      <c r="I48" s="77"/>
      <c r="J48" s="77"/>
      <c r="K48" s="104">
        <f>SUM(K46:K47)</f>
        <v>1107457</v>
      </c>
      <c r="L48" s="104">
        <f>SUM(L46:L47)</f>
        <v>1230227</v>
      </c>
      <c r="M48" s="104">
        <f>SUM(M46:M47)</f>
        <v>1387938</v>
      </c>
      <c r="N48" s="104">
        <f>SUM(N46:N47)</f>
        <v>1634439</v>
      </c>
      <c r="O48" s="105">
        <f>SUM(O46:O47)</f>
        <v>1999283</v>
      </c>
    </row>
    <row r="49" spans="2:17" s="32" customFormat="1" ht="15.6" x14ac:dyDescent="0.3">
      <c r="B49" s="86"/>
      <c r="C49" s="87"/>
      <c r="K49" s="88"/>
      <c r="L49" s="88"/>
      <c r="M49" s="88"/>
      <c r="N49" s="88"/>
      <c r="O49" s="89"/>
    </row>
    <row r="50" spans="2:17" ht="15.6" x14ac:dyDescent="0.3">
      <c r="B50" s="90" t="s">
        <v>163</v>
      </c>
      <c r="C50" s="92"/>
      <c r="D50" s="54"/>
      <c r="E50" s="54"/>
      <c r="F50" s="54"/>
      <c r="G50" s="54"/>
      <c r="H50" s="54"/>
      <c r="I50" s="54"/>
      <c r="J50" s="54"/>
      <c r="K50" s="93"/>
      <c r="L50" s="93"/>
      <c r="M50" s="93"/>
      <c r="N50" s="93"/>
      <c r="O50" s="99"/>
    </row>
    <row r="51" spans="2:17" ht="15.6" x14ac:dyDescent="0.3">
      <c r="B51" s="75" t="s">
        <v>164</v>
      </c>
      <c r="C51" s="81"/>
      <c r="D51" s="77"/>
      <c r="E51" s="77"/>
      <c r="F51" s="77"/>
      <c r="G51" s="77"/>
      <c r="H51" s="77"/>
      <c r="I51" s="77"/>
      <c r="J51" s="77"/>
      <c r="K51" s="82"/>
      <c r="L51" s="82"/>
      <c r="M51" s="82"/>
      <c r="N51" s="82"/>
      <c r="O51" s="83"/>
    </row>
    <row r="52" spans="2:17" x14ac:dyDescent="0.3">
      <c r="B52" s="271" t="s">
        <v>165</v>
      </c>
      <c r="C52" s="271"/>
      <c r="D52" s="271"/>
      <c r="E52" s="271"/>
      <c r="F52" s="271"/>
      <c r="G52" s="271"/>
      <c r="H52" s="271"/>
      <c r="I52" s="271"/>
      <c r="J52" s="271"/>
      <c r="K52" s="271"/>
      <c r="L52" s="271"/>
      <c r="M52" s="271"/>
      <c r="N52" s="271"/>
      <c r="O52" s="271"/>
    </row>
    <row r="53" spans="2:17" x14ac:dyDescent="0.3">
      <c r="B53" s="271" t="s">
        <v>166</v>
      </c>
      <c r="C53" s="271"/>
      <c r="D53" s="271"/>
      <c r="E53" s="271"/>
      <c r="F53" s="271"/>
      <c r="G53" s="271"/>
      <c r="H53" s="271"/>
      <c r="I53" s="271"/>
      <c r="J53" s="271"/>
      <c r="K53" s="271"/>
      <c r="L53" s="271"/>
      <c r="M53" s="271"/>
      <c r="N53" s="271"/>
      <c r="O53" s="271"/>
    </row>
    <row r="54" spans="2:17" x14ac:dyDescent="0.3">
      <c r="B54" s="271" t="s">
        <v>167</v>
      </c>
      <c r="C54" s="271"/>
      <c r="D54" s="271"/>
      <c r="E54" s="271"/>
      <c r="F54" s="271"/>
      <c r="G54" s="271"/>
      <c r="H54" s="271"/>
      <c r="I54" s="271"/>
      <c r="J54" s="271"/>
      <c r="K54" s="271">
        <v>117</v>
      </c>
      <c r="L54" s="271">
        <v>5151</v>
      </c>
      <c r="M54" s="271">
        <v>5942</v>
      </c>
      <c r="N54" s="271">
        <v>6025</v>
      </c>
      <c r="O54" s="271">
        <v>5869</v>
      </c>
    </row>
    <row r="55" spans="2:17" x14ac:dyDescent="0.3">
      <c r="B55" s="271" t="s">
        <v>168</v>
      </c>
      <c r="C55" s="271"/>
      <c r="D55" s="271"/>
      <c r="E55" s="271"/>
      <c r="F55" s="271"/>
      <c r="G55" s="271"/>
      <c r="H55" s="271"/>
      <c r="I55" s="271"/>
      <c r="J55" s="271"/>
      <c r="K55" s="271"/>
      <c r="L55" s="271"/>
      <c r="M55" s="271"/>
      <c r="N55" s="271"/>
      <c r="O55" s="271"/>
    </row>
    <row r="56" spans="2:17" x14ac:dyDescent="0.3">
      <c r="B56" s="271" t="s">
        <v>169</v>
      </c>
      <c r="C56" s="271"/>
      <c r="D56" s="271"/>
      <c r="E56" s="271"/>
      <c r="F56" s="271"/>
      <c r="G56" s="271"/>
      <c r="H56" s="271"/>
      <c r="I56" s="271"/>
      <c r="J56" s="271"/>
      <c r="K56" s="271"/>
      <c r="L56" s="271"/>
      <c r="M56" s="271"/>
      <c r="N56" s="271"/>
      <c r="O56" s="271"/>
    </row>
    <row r="57" spans="2:17" x14ac:dyDescent="0.3">
      <c r="B57" s="271" t="s">
        <v>170</v>
      </c>
      <c r="C57" s="271"/>
      <c r="D57" s="271"/>
      <c r="E57" s="271"/>
      <c r="F57" s="271"/>
      <c r="G57" s="271"/>
      <c r="H57" s="271"/>
      <c r="I57" s="271"/>
      <c r="J57" s="271"/>
      <c r="K57" s="271">
        <v>29</v>
      </c>
      <c r="L57" s="271">
        <v>34</v>
      </c>
      <c r="M57" s="271">
        <v>37</v>
      </c>
      <c r="N57" s="271">
        <v>0</v>
      </c>
      <c r="O57" s="271">
        <v>0</v>
      </c>
    </row>
    <row r="58" spans="2:17" x14ac:dyDescent="0.3">
      <c r="B58" s="271" t="s">
        <v>171</v>
      </c>
      <c r="C58" s="271"/>
      <c r="D58" s="271"/>
      <c r="E58" s="271"/>
      <c r="F58" s="271"/>
      <c r="G58" s="271"/>
      <c r="H58" s="271"/>
      <c r="I58" s="271"/>
      <c r="J58" s="271"/>
      <c r="K58" s="271">
        <v>0</v>
      </c>
      <c r="L58" s="271">
        <v>0</v>
      </c>
      <c r="M58" s="271">
        <v>0</v>
      </c>
      <c r="N58" s="271">
        <v>0</v>
      </c>
      <c r="O58" s="271">
        <v>0</v>
      </c>
    </row>
    <row r="59" spans="2:17" x14ac:dyDescent="0.3">
      <c r="B59" s="271" t="s">
        <v>172</v>
      </c>
      <c r="C59" s="271"/>
      <c r="D59" s="271"/>
      <c r="E59" s="271"/>
      <c r="F59" s="271"/>
      <c r="G59" s="271"/>
      <c r="H59" s="271"/>
      <c r="I59" s="271"/>
      <c r="J59" s="271"/>
      <c r="K59" s="271">
        <v>671</v>
      </c>
      <c r="L59" s="271">
        <v>2022</v>
      </c>
      <c r="M59" s="271">
        <v>473</v>
      </c>
      <c r="N59" s="271">
        <v>480</v>
      </c>
      <c r="O59" s="271">
        <v>1457</v>
      </c>
    </row>
    <row r="60" spans="2:17" x14ac:dyDescent="0.3">
      <c r="B60" s="271" t="s">
        <v>173</v>
      </c>
      <c r="C60" s="271"/>
      <c r="D60" s="271"/>
      <c r="E60" s="271"/>
      <c r="F60" s="271"/>
      <c r="G60" s="271"/>
      <c r="H60" s="271"/>
      <c r="I60" s="271"/>
      <c r="J60" s="271"/>
      <c r="K60" s="271">
        <v>141203</v>
      </c>
      <c r="L60" s="271">
        <v>180532</v>
      </c>
      <c r="M60" s="271">
        <v>84465</v>
      </c>
      <c r="N60" s="271">
        <v>96728</v>
      </c>
      <c r="O60" s="271">
        <v>90216</v>
      </c>
    </row>
    <row r="61" spans="2:17" x14ac:dyDescent="0.3">
      <c r="B61" s="271" t="s">
        <v>174</v>
      </c>
      <c r="C61" s="271"/>
      <c r="D61" s="271"/>
      <c r="E61" s="271"/>
      <c r="F61" s="271"/>
      <c r="G61" s="271"/>
      <c r="H61" s="271"/>
      <c r="I61" s="271"/>
      <c r="J61" s="271"/>
      <c r="K61" s="271">
        <v>36</v>
      </c>
      <c r="L61" s="271">
        <v>145</v>
      </c>
      <c r="M61" s="271">
        <v>289</v>
      </c>
      <c r="N61" s="271">
        <v>547</v>
      </c>
      <c r="O61" s="271">
        <v>952</v>
      </c>
    </row>
    <row r="62" spans="2:17" x14ac:dyDescent="0.3">
      <c r="B62" s="271" t="s">
        <v>175</v>
      </c>
      <c r="C62" s="271"/>
      <c r="D62" s="271"/>
      <c r="E62" s="271"/>
      <c r="F62" s="271"/>
      <c r="G62" s="271"/>
      <c r="H62" s="271"/>
      <c r="I62" s="271"/>
      <c r="J62" s="271"/>
      <c r="K62" s="271">
        <v>16499</v>
      </c>
      <c r="L62" s="271">
        <v>14843</v>
      </c>
      <c r="M62" s="271">
        <v>13395</v>
      </c>
      <c r="N62" s="271">
        <v>11776</v>
      </c>
      <c r="O62" s="271">
        <v>10155</v>
      </c>
    </row>
    <row r="63" spans="2:17" ht="15.6" x14ac:dyDescent="0.3">
      <c r="B63" s="75" t="s">
        <v>176</v>
      </c>
      <c r="C63" s="80"/>
      <c r="D63" s="77"/>
      <c r="E63" s="77"/>
      <c r="F63" s="77"/>
      <c r="G63" s="77"/>
      <c r="H63" s="77"/>
      <c r="I63" s="77"/>
      <c r="J63" s="77"/>
      <c r="K63" s="104">
        <f>SUM(K53:K62)</f>
        <v>158555</v>
      </c>
      <c r="L63" s="104">
        <f>SUM(L53:L62)</f>
        <v>202727</v>
      </c>
      <c r="M63" s="104">
        <f>SUM(M53:M62)</f>
        <v>104601</v>
      </c>
      <c r="N63" s="104">
        <f>SUM(N53:N62)</f>
        <v>115556</v>
      </c>
      <c r="O63" s="105">
        <f>SUM(O53:O62)</f>
        <v>108649</v>
      </c>
      <c r="Q63" s="106"/>
    </row>
    <row r="64" spans="2:17" ht="15.6" x14ac:dyDescent="0.3">
      <c r="B64" s="62"/>
      <c r="C64" s="59"/>
      <c r="K64" s="60"/>
      <c r="L64" s="60"/>
      <c r="M64" s="60"/>
      <c r="N64" s="60"/>
      <c r="O64" s="61"/>
    </row>
    <row r="65" spans="2:15" ht="15.6" x14ac:dyDescent="0.3">
      <c r="B65" s="75" t="s">
        <v>177</v>
      </c>
      <c r="C65" s="81"/>
      <c r="D65" s="77"/>
      <c r="E65" s="77"/>
      <c r="F65" s="77"/>
      <c r="G65" s="77"/>
      <c r="H65" s="77"/>
      <c r="I65" s="77"/>
      <c r="J65" s="77"/>
      <c r="K65" s="82"/>
      <c r="L65" s="82"/>
      <c r="M65" s="82"/>
      <c r="N65" s="82"/>
      <c r="O65" s="83"/>
    </row>
    <row r="66" spans="2:15" x14ac:dyDescent="0.3">
      <c r="B66" s="271" t="s">
        <v>178</v>
      </c>
      <c r="C66" s="271"/>
      <c r="D66" s="271"/>
      <c r="E66" s="271"/>
      <c r="F66" s="271"/>
      <c r="G66" s="271"/>
      <c r="H66" s="271"/>
      <c r="I66" s="271"/>
      <c r="J66" s="271"/>
      <c r="K66" s="271"/>
      <c r="L66" s="271"/>
      <c r="M66" s="271"/>
      <c r="N66" s="271"/>
      <c r="O66" s="271"/>
    </row>
    <row r="67" spans="2:15" x14ac:dyDescent="0.3">
      <c r="B67" s="271" t="s">
        <v>166</v>
      </c>
      <c r="C67" s="271"/>
      <c r="D67" s="271"/>
      <c r="E67" s="271"/>
      <c r="F67" s="271"/>
      <c r="G67" s="271"/>
      <c r="H67" s="271"/>
      <c r="I67" s="271"/>
      <c r="J67" s="271"/>
      <c r="K67" s="271"/>
      <c r="L67" s="271"/>
      <c r="M67" s="271"/>
      <c r="N67" s="271"/>
      <c r="O67" s="271"/>
    </row>
    <row r="68" spans="2:15" x14ac:dyDescent="0.3">
      <c r="B68" s="271" t="s">
        <v>167</v>
      </c>
      <c r="C68" s="271"/>
      <c r="D68" s="271"/>
      <c r="E68" s="271"/>
      <c r="F68" s="271"/>
      <c r="G68" s="271"/>
      <c r="H68" s="271"/>
      <c r="I68" s="271"/>
      <c r="J68" s="271"/>
      <c r="K68" s="271">
        <v>135</v>
      </c>
      <c r="L68" s="271">
        <v>119</v>
      </c>
      <c r="M68" s="271">
        <v>192</v>
      </c>
      <c r="N68" s="271">
        <v>226</v>
      </c>
      <c r="O68" s="271">
        <v>254</v>
      </c>
    </row>
    <row r="69" spans="2:15" x14ac:dyDescent="0.3">
      <c r="B69" s="271" t="s">
        <v>168</v>
      </c>
      <c r="C69" s="271"/>
      <c r="D69" s="271"/>
      <c r="E69" s="271"/>
      <c r="F69" s="271"/>
      <c r="G69" s="271"/>
      <c r="H69" s="271"/>
      <c r="I69" s="271"/>
      <c r="J69" s="271"/>
      <c r="K69" s="271"/>
      <c r="L69" s="271"/>
      <c r="M69" s="271"/>
      <c r="N69" s="271"/>
      <c r="O69" s="271"/>
    </row>
    <row r="70" spans="2:15" x14ac:dyDescent="0.3">
      <c r="B70" s="271" t="s">
        <v>169</v>
      </c>
      <c r="C70" s="271"/>
      <c r="D70" s="271"/>
      <c r="E70" s="271"/>
      <c r="F70" s="271"/>
      <c r="G70" s="271"/>
      <c r="H70" s="271"/>
      <c r="I70" s="271"/>
      <c r="J70" s="271"/>
      <c r="K70" s="271">
        <v>15343</v>
      </c>
      <c r="L70" s="271">
        <v>24844</v>
      </c>
      <c r="M70" s="271">
        <v>20754</v>
      </c>
      <c r="N70" s="271">
        <v>21306</v>
      </c>
      <c r="O70" s="271">
        <v>17777</v>
      </c>
    </row>
    <row r="71" spans="2:15" x14ac:dyDescent="0.3">
      <c r="B71" s="271" t="s">
        <v>170</v>
      </c>
      <c r="C71" s="271"/>
      <c r="D71" s="271"/>
      <c r="E71" s="271"/>
      <c r="F71" s="271"/>
      <c r="G71" s="271"/>
      <c r="H71" s="271"/>
      <c r="I71" s="271"/>
      <c r="J71" s="271"/>
      <c r="K71" s="271">
        <v>314547</v>
      </c>
      <c r="L71" s="271">
        <v>312086</v>
      </c>
      <c r="M71" s="271">
        <v>312284</v>
      </c>
      <c r="N71" s="271">
        <v>349325</v>
      </c>
      <c r="O71" s="271">
        <v>316100</v>
      </c>
    </row>
    <row r="72" spans="2:15" x14ac:dyDescent="0.3">
      <c r="B72" s="271" t="s">
        <v>171</v>
      </c>
      <c r="C72" s="271"/>
      <c r="D72" s="271"/>
      <c r="E72" s="271"/>
      <c r="F72" s="271"/>
      <c r="G72" s="271"/>
      <c r="H72" s="271"/>
      <c r="I72" s="271"/>
      <c r="J72" s="271"/>
      <c r="K72" s="271">
        <f>K70+K71</f>
        <v>329890</v>
      </c>
      <c r="L72" s="271">
        <f t="shared" ref="L72:O72" si="1">L70+L71</f>
        <v>336930</v>
      </c>
      <c r="M72" s="271">
        <f t="shared" si="1"/>
        <v>333038</v>
      </c>
      <c r="N72" s="271">
        <f t="shared" si="1"/>
        <v>370631</v>
      </c>
      <c r="O72" s="271">
        <f t="shared" si="1"/>
        <v>333877</v>
      </c>
    </row>
    <row r="73" spans="2:15" x14ac:dyDescent="0.3">
      <c r="B73" s="271" t="s">
        <v>179</v>
      </c>
      <c r="C73" s="271"/>
      <c r="D73" s="271"/>
      <c r="E73" s="271"/>
      <c r="F73" s="271"/>
      <c r="G73" s="271"/>
      <c r="H73" s="271"/>
      <c r="I73" s="271"/>
      <c r="J73" s="271"/>
      <c r="K73" s="271">
        <v>95895</v>
      </c>
      <c r="L73" s="271">
        <v>96043</v>
      </c>
      <c r="M73" s="271">
        <v>129023</v>
      </c>
      <c r="N73" s="271">
        <v>131714</v>
      </c>
      <c r="O73" s="271">
        <v>136832</v>
      </c>
    </row>
    <row r="74" spans="2:15" x14ac:dyDescent="0.3">
      <c r="B74" s="271" t="s">
        <v>180</v>
      </c>
      <c r="C74" s="271"/>
      <c r="D74" s="271"/>
      <c r="E74" s="271"/>
      <c r="F74" s="271"/>
      <c r="G74" s="271"/>
      <c r="H74" s="271"/>
      <c r="I74" s="271"/>
      <c r="J74" s="271"/>
      <c r="K74" s="271">
        <v>1220296</v>
      </c>
      <c r="L74" s="271">
        <v>1480907</v>
      </c>
      <c r="M74" s="271">
        <v>1529906</v>
      </c>
      <c r="N74" s="271">
        <v>1628984</v>
      </c>
      <c r="O74" s="271">
        <v>1428702</v>
      </c>
    </row>
    <row r="75" spans="2:15" x14ac:dyDescent="0.3">
      <c r="B75" s="271" t="s">
        <v>181</v>
      </c>
      <c r="C75" s="271"/>
      <c r="D75" s="271"/>
      <c r="E75" s="271"/>
      <c r="F75" s="271"/>
      <c r="G75" s="271"/>
      <c r="H75" s="271"/>
      <c r="I75" s="271"/>
      <c r="J75" s="271"/>
      <c r="K75" s="271">
        <v>35028</v>
      </c>
      <c r="L75" s="271">
        <v>42382</v>
      </c>
      <c r="M75" s="271">
        <v>62754</v>
      </c>
      <c r="N75" s="271">
        <v>69453</v>
      </c>
      <c r="O75" s="271">
        <v>73971</v>
      </c>
    </row>
    <row r="76" spans="2:15" x14ac:dyDescent="0.3">
      <c r="B76" s="271" t="s">
        <v>182</v>
      </c>
      <c r="C76" s="271"/>
      <c r="D76" s="271"/>
      <c r="E76" s="271"/>
      <c r="F76" s="271"/>
      <c r="G76" s="271"/>
      <c r="H76" s="271"/>
      <c r="I76" s="271"/>
      <c r="J76" s="271"/>
      <c r="K76" s="271">
        <v>0</v>
      </c>
      <c r="L76" s="271">
        <v>69</v>
      </c>
      <c r="M76" s="271">
        <v>0</v>
      </c>
      <c r="N76" s="271">
        <v>28</v>
      </c>
      <c r="O76" s="271">
        <v>0</v>
      </c>
    </row>
    <row r="77" spans="2:15" x14ac:dyDescent="0.3">
      <c r="B77" s="271" t="s">
        <v>191</v>
      </c>
      <c r="C77" s="271"/>
      <c r="D77" s="271"/>
      <c r="E77" s="271"/>
      <c r="F77" s="271"/>
      <c r="G77" s="271"/>
      <c r="H77" s="271"/>
      <c r="I77" s="271"/>
      <c r="J77" s="271"/>
      <c r="K77" s="271">
        <v>1711</v>
      </c>
      <c r="L77" s="271">
        <v>1654</v>
      </c>
      <c r="M77" s="271">
        <v>1665</v>
      </c>
      <c r="N77" s="271">
        <v>1637</v>
      </c>
      <c r="O77" s="271">
        <v>1618</v>
      </c>
    </row>
    <row r="78" spans="2:15" ht="15.6" x14ac:dyDescent="0.3">
      <c r="B78" s="75" t="s">
        <v>183</v>
      </c>
      <c r="C78" s="80"/>
      <c r="D78" s="77"/>
      <c r="E78" s="77"/>
      <c r="F78" s="77"/>
      <c r="G78" s="77"/>
      <c r="H78" s="77"/>
      <c r="I78" s="77"/>
      <c r="J78" s="77"/>
      <c r="K78" s="104">
        <f>SUM(K67:K68,K72:K77)</f>
        <v>1682955</v>
      </c>
      <c r="L78" s="104">
        <f t="shared" ref="L78:O78" si="2">SUM(L67:L68,L72:L77)</f>
        <v>1958104</v>
      </c>
      <c r="M78" s="104">
        <f t="shared" si="2"/>
        <v>2056578</v>
      </c>
      <c r="N78" s="104">
        <f t="shared" si="2"/>
        <v>2202673</v>
      </c>
      <c r="O78" s="104">
        <f t="shared" si="2"/>
        <v>1975254</v>
      </c>
    </row>
    <row r="79" spans="2:15" s="32" customFormat="1" ht="15.6" x14ac:dyDescent="0.3">
      <c r="B79" s="86"/>
      <c r="C79" s="87"/>
      <c r="K79" s="88"/>
      <c r="L79" s="88"/>
      <c r="M79" s="88"/>
      <c r="N79" s="88"/>
      <c r="O79" s="89"/>
    </row>
    <row r="80" spans="2:15" x14ac:dyDescent="0.3">
      <c r="B80" s="271" t="s">
        <v>184</v>
      </c>
      <c r="C80" s="271"/>
      <c r="D80" s="271"/>
      <c r="E80" s="271"/>
      <c r="F80" s="271"/>
      <c r="G80" s="271"/>
      <c r="H80" s="271"/>
      <c r="I80" s="271"/>
      <c r="J80" s="271"/>
      <c r="K80" s="271">
        <f>SUM(K48,K63,K78)</f>
        <v>2948967</v>
      </c>
      <c r="L80" s="271">
        <f>SUM(L48,L63,L78)</f>
        <v>3391058</v>
      </c>
      <c r="M80" s="271">
        <f>SUM(M48,M63,M78)</f>
        <v>3549117</v>
      </c>
      <c r="N80" s="271">
        <f>SUM(N48,N63,N78)</f>
        <v>3952668</v>
      </c>
      <c r="O80" s="271">
        <f>SUM(O48,O63,O78)</f>
        <v>4083186</v>
      </c>
    </row>
    <row r="81" spans="2:15" x14ac:dyDescent="0.3">
      <c r="B81" s="63"/>
      <c r="C81" s="59"/>
      <c r="K81" s="64"/>
      <c r="L81" s="64"/>
      <c r="M81" s="64"/>
      <c r="N81" s="64"/>
      <c r="O81" s="65"/>
    </row>
    <row r="82" spans="2:15" x14ac:dyDescent="0.3">
      <c r="O82" s="66"/>
    </row>
    <row r="83" spans="2:15" ht="15.6" x14ac:dyDescent="0.3">
      <c r="B83" s="94" t="s">
        <v>119</v>
      </c>
      <c r="C83" s="95"/>
      <c r="D83" s="54"/>
      <c r="E83" s="54"/>
      <c r="F83" s="54"/>
      <c r="G83" s="54"/>
      <c r="H83" s="54"/>
      <c r="I83" s="54"/>
      <c r="J83" s="54"/>
      <c r="K83" s="96"/>
      <c r="L83" s="96"/>
      <c r="M83" s="96"/>
      <c r="N83" s="96"/>
      <c r="O83" s="100"/>
    </row>
    <row r="84" spans="2:15" x14ac:dyDescent="0.3">
      <c r="B84" s="271" t="s">
        <v>185</v>
      </c>
      <c r="C84" s="271"/>
      <c r="D84" s="271"/>
      <c r="E84" s="271"/>
      <c r="F84" s="271"/>
      <c r="G84" s="271"/>
      <c r="H84" s="271"/>
      <c r="I84" s="271"/>
      <c r="J84" s="271"/>
      <c r="K84" s="271"/>
      <c r="L84" s="271"/>
      <c r="M84" s="271"/>
      <c r="N84" s="271"/>
      <c r="O84" s="271"/>
    </row>
    <row r="85" spans="2:15" x14ac:dyDescent="0.3">
      <c r="B85" s="271" t="s">
        <v>186</v>
      </c>
      <c r="C85" s="271"/>
      <c r="D85" s="271"/>
      <c r="E85" s="271"/>
      <c r="F85" s="271"/>
      <c r="G85" s="271"/>
      <c r="H85" s="271"/>
      <c r="I85" s="271"/>
      <c r="J85" s="271"/>
      <c r="K85" s="271">
        <f>'Ratio analysis'!C6</f>
        <v>0.6356575031188888</v>
      </c>
      <c r="L85" s="271">
        <f>'Ratio analysis'!D6</f>
        <v>0.63997165486405716</v>
      </c>
      <c r="M85" s="271">
        <f>'Ratio analysis'!E6</f>
        <v>0.66494567522006176</v>
      </c>
      <c r="N85" s="271">
        <f>'Ratio analysis'!F6</f>
        <v>0.67337024005051782</v>
      </c>
      <c r="O85" s="271">
        <f>'Ratio analysis'!G6</f>
        <v>0.63036315269497889</v>
      </c>
    </row>
    <row r="86" spans="2:15" x14ac:dyDescent="0.3">
      <c r="B86" s="271" t="s">
        <v>187</v>
      </c>
      <c r="C86" s="271"/>
      <c r="D86" s="271"/>
      <c r="E86" s="271"/>
      <c r="F86" s="271"/>
      <c r="G86" s="271"/>
      <c r="H86" s="271"/>
      <c r="I86" s="271"/>
      <c r="J86" s="271"/>
      <c r="K86" s="271">
        <f>'Ratio analysis'!C7</f>
        <v>0.80412259614977044</v>
      </c>
      <c r="L86" s="271">
        <f>'Ratio analysis'!D7</f>
        <v>0.80487299244070731</v>
      </c>
      <c r="M86" s="271">
        <f>'Ratio analysis'!E7</f>
        <v>0.84662579452861086</v>
      </c>
      <c r="N86" s="271">
        <f>'Ratio analysis'!F7</f>
        <v>0.86177184625675618</v>
      </c>
      <c r="O86" s="271">
        <f>'Ratio analysis'!G7</f>
        <v>0.85369316999029676</v>
      </c>
    </row>
  </sheetData>
  <mergeCells count="2">
    <mergeCell ref="E1:O1"/>
    <mergeCell ref="B2:F2"/>
  </mergeCells>
  <pageMargins left="0.7" right="0.7" top="0.75" bottom="0.75" header="0.3" footer="0.3"/>
  <pageSetup orientation="portrait" r:id="rId1"/>
  <ignoredErrors>
    <ignoredError sqref="K63:O63"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9E83-5FE6-4CB1-9E15-5B1C52AD5322}">
  <dimension ref="A1:Q64"/>
  <sheetViews>
    <sheetView showGridLines="0" workbookViewId="0">
      <pane ySplit="3" topLeftCell="A43" activePane="bottomLeft" state="frozen"/>
      <selection pane="bottomLeft" activeCell="B2" sqref="B2:F2"/>
    </sheetView>
  </sheetViews>
  <sheetFormatPr defaultRowHeight="14.4" x14ac:dyDescent="0.3"/>
  <cols>
    <col min="1" max="1" width="2.33203125" customWidth="1"/>
    <col min="2" max="2" width="60.109375" customWidth="1"/>
    <col min="3" max="5" width="8.88671875" customWidth="1"/>
    <col min="6" max="6" width="12.44140625" customWidth="1"/>
    <col min="7" max="7" width="12.109375" customWidth="1"/>
    <col min="8" max="8" width="9.6640625" customWidth="1"/>
    <col min="9" max="9" width="10.77734375" customWidth="1"/>
    <col min="10" max="10" width="11.33203125" customWidth="1"/>
    <col min="11" max="11" width="8.88671875" customWidth="1"/>
  </cols>
  <sheetData>
    <row r="1" spans="1:17" ht="62.4" x14ac:dyDescent="1.2">
      <c r="A1" s="35"/>
      <c r="B1" s="334" t="s">
        <v>475</v>
      </c>
      <c r="C1" s="334"/>
      <c r="D1" s="334"/>
      <c r="E1" s="334"/>
      <c r="F1" s="334"/>
      <c r="G1" s="334"/>
      <c r="H1" s="334"/>
      <c r="I1" s="334"/>
      <c r="J1" s="112"/>
      <c r="K1" s="113"/>
      <c r="L1" s="113"/>
      <c r="M1" s="113"/>
      <c r="N1" s="113"/>
      <c r="O1" s="113"/>
      <c r="P1" s="33"/>
      <c r="Q1" s="33"/>
    </row>
    <row r="2" spans="1:17" x14ac:dyDescent="0.3">
      <c r="B2" s="349" t="s">
        <v>254</v>
      </c>
      <c r="C2" s="349"/>
      <c r="D2" s="349"/>
      <c r="E2" s="349"/>
      <c r="F2" s="349"/>
      <c r="K2" s="32"/>
      <c r="L2" s="32"/>
      <c r="M2" s="32"/>
      <c r="N2" s="32"/>
      <c r="O2" s="32"/>
    </row>
    <row r="3" spans="1:17" ht="16.05" customHeight="1" x14ac:dyDescent="0.3">
      <c r="A3" t="s">
        <v>94</v>
      </c>
      <c r="B3" s="53" t="s">
        <v>192</v>
      </c>
      <c r="C3" s="55"/>
      <c r="D3" s="55"/>
      <c r="E3" s="55"/>
      <c r="F3" s="115">
        <f>'Historical BS'!K3</f>
        <v>44286</v>
      </c>
      <c r="G3" s="115">
        <f>'Historical BS'!L3</f>
        <v>44651</v>
      </c>
      <c r="H3" s="115">
        <f>'Historical BS'!M3</f>
        <v>45016</v>
      </c>
      <c r="I3" s="115">
        <f>'Historical BS'!N3</f>
        <v>45382</v>
      </c>
      <c r="J3" s="115">
        <f>'Historical BS'!O3</f>
        <v>45747</v>
      </c>
      <c r="K3" s="114"/>
      <c r="L3" s="114"/>
      <c r="M3" s="114"/>
      <c r="N3" s="114"/>
      <c r="O3" s="114"/>
    </row>
    <row r="4" spans="1:17" x14ac:dyDescent="0.3">
      <c r="K4" s="32"/>
      <c r="L4" s="32"/>
      <c r="M4" s="32"/>
      <c r="N4" s="32"/>
      <c r="O4" s="32"/>
    </row>
    <row r="5" spans="1:17" x14ac:dyDescent="0.3">
      <c r="B5" s="108" t="s">
        <v>246</v>
      </c>
      <c r="C5" s="108"/>
      <c r="D5" s="108"/>
      <c r="E5" s="108"/>
      <c r="F5" s="108"/>
      <c r="G5" s="108"/>
      <c r="H5" s="108"/>
      <c r="I5" s="107"/>
      <c r="J5" s="107"/>
      <c r="K5" s="18"/>
      <c r="L5" s="18"/>
      <c r="M5" s="18"/>
      <c r="N5" s="18"/>
      <c r="O5" s="18"/>
    </row>
    <row r="6" spans="1:17" x14ac:dyDescent="0.3">
      <c r="B6" s="271" t="s">
        <v>213</v>
      </c>
      <c r="C6" s="271"/>
      <c r="D6" s="271"/>
      <c r="E6" s="271"/>
      <c r="F6" s="271">
        <v>297220</v>
      </c>
      <c r="G6" s="271">
        <v>321200</v>
      </c>
      <c r="H6" s="271">
        <v>396880</v>
      </c>
      <c r="I6" s="271">
        <v>530834</v>
      </c>
      <c r="J6" s="271">
        <v>713453</v>
      </c>
      <c r="K6" s="109"/>
      <c r="L6" s="109"/>
      <c r="M6" s="109"/>
      <c r="N6" s="109"/>
      <c r="O6" s="109"/>
    </row>
    <row r="7" spans="1:17" x14ac:dyDescent="0.3">
      <c r="B7" s="271" t="s">
        <v>214</v>
      </c>
      <c r="C7" s="271"/>
      <c r="D7" s="271"/>
      <c r="E7" s="271"/>
      <c r="F7" s="271"/>
      <c r="G7" s="271"/>
      <c r="H7" s="271"/>
      <c r="I7" s="271"/>
      <c r="J7" s="271"/>
    </row>
    <row r="8" spans="1:17" x14ac:dyDescent="0.3">
      <c r="B8" s="271" t="s">
        <v>201</v>
      </c>
      <c r="C8" s="271"/>
      <c r="D8" s="271"/>
      <c r="E8" s="271"/>
      <c r="F8" s="271">
        <v>38732</v>
      </c>
      <c r="G8" s="271">
        <v>40113</v>
      </c>
      <c r="H8" s="271">
        <v>42882</v>
      </c>
      <c r="I8" s="271">
        <v>44320</v>
      </c>
      <c r="J8" s="271">
        <v>46738</v>
      </c>
      <c r="K8" s="109"/>
      <c r="L8" s="109"/>
      <c r="M8" s="109"/>
      <c r="N8" s="109"/>
      <c r="O8" s="109"/>
    </row>
    <row r="9" spans="1:17" x14ac:dyDescent="0.3">
      <c r="B9" s="271" t="s">
        <v>202</v>
      </c>
      <c r="C9" s="271"/>
      <c r="D9" s="271"/>
      <c r="E9" s="271"/>
      <c r="F9" s="271">
        <v>7213</v>
      </c>
      <c r="G9" s="271">
        <v>0</v>
      </c>
      <c r="H9" s="271">
        <v>544</v>
      </c>
      <c r="I9" s="271">
        <v>9666</v>
      </c>
      <c r="J9" s="271">
        <v>0</v>
      </c>
      <c r="K9" s="110"/>
      <c r="L9" s="110"/>
      <c r="M9" s="110"/>
      <c r="N9" s="110"/>
      <c r="O9" s="110"/>
    </row>
    <row r="10" spans="1:17" x14ac:dyDescent="0.3">
      <c r="B10" s="271" t="s">
        <v>203</v>
      </c>
      <c r="C10" s="271"/>
      <c r="D10" s="271"/>
      <c r="E10" s="271"/>
      <c r="F10" s="271">
        <v>75</v>
      </c>
      <c r="G10" s="271">
        <v>0</v>
      </c>
      <c r="H10" s="271">
        <v>1950</v>
      </c>
      <c r="I10" s="271">
        <v>0</v>
      </c>
      <c r="J10" s="271">
        <v>129</v>
      </c>
      <c r="K10" s="110"/>
      <c r="L10" s="110"/>
      <c r="M10" s="109"/>
      <c r="N10" s="110"/>
      <c r="O10" s="110"/>
    </row>
    <row r="11" spans="1:17" x14ac:dyDescent="0.3">
      <c r="B11" s="271" t="s">
        <v>212</v>
      </c>
      <c r="C11" s="271"/>
      <c r="D11" s="271"/>
      <c r="E11" s="271"/>
      <c r="F11" s="271">
        <v>1468</v>
      </c>
      <c r="G11" s="271">
        <v>0</v>
      </c>
      <c r="H11" s="271">
        <v>0</v>
      </c>
      <c r="I11" s="271">
        <v>0</v>
      </c>
      <c r="J11" s="271">
        <v>0</v>
      </c>
      <c r="K11" s="109"/>
      <c r="L11" s="109"/>
      <c r="M11" s="109"/>
      <c r="N11" s="109"/>
      <c r="O11" s="109"/>
    </row>
    <row r="12" spans="1:17" x14ac:dyDescent="0.3">
      <c r="B12" s="271" t="s">
        <v>211</v>
      </c>
      <c r="C12" s="271"/>
      <c r="D12" s="271"/>
      <c r="E12" s="271"/>
      <c r="F12" s="271">
        <v>0</v>
      </c>
      <c r="G12" s="271">
        <v>0</v>
      </c>
      <c r="H12" s="271">
        <v>4180</v>
      </c>
      <c r="I12" s="271">
        <v>2</v>
      </c>
      <c r="J12" s="271">
        <v>0</v>
      </c>
      <c r="K12" s="110"/>
      <c r="L12" s="110"/>
      <c r="M12" s="110"/>
      <c r="N12" s="110"/>
      <c r="O12" s="110"/>
    </row>
    <row r="13" spans="1:17" x14ac:dyDescent="0.3">
      <c r="B13" s="271" t="s">
        <v>215</v>
      </c>
      <c r="C13" s="271"/>
      <c r="D13" s="271"/>
      <c r="E13" s="271"/>
      <c r="F13" s="271">
        <v>0</v>
      </c>
      <c r="G13" s="271">
        <v>0</v>
      </c>
      <c r="H13" s="271">
        <v>37536</v>
      </c>
      <c r="I13" s="271">
        <v>83118</v>
      </c>
      <c r="J13" s="271">
        <v>0</v>
      </c>
    </row>
    <row r="14" spans="1:17" x14ac:dyDescent="0.3">
      <c r="B14" s="271" t="s">
        <v>216</v>
      </c>
      <c r="C14" s="271"/>
      <c r="D14" s="271"/>
      <c r="E14" s="271"/>
      <c r="F14" s="271">
        <v>0</v>
      </c>
      <c r="G14" s="271">
        <v>0</v>
      </c>
      <c r="H14" s="271">
        <v>0</v>
      </c>
      <c r="I14" s="271">
        <v>1913</v>
      </c>
      <c r="J14" s="271">
        <v>0</v>
      </c>
    </row>
    <row r="15" spans="1:17" x14ac:dyDescent="0.3">
      <c r="B15" s="271" t="s">
        <v>209</v>
      </c>
      <c r="C15" s="271"/>
      <c r="D15" s="271"/>
      <c r="E15" s="271"/>
      <c r="F15" s="271">
        <v>0</v>
      </c>
      <c r="G15" s="271">
        <v>0</v>
      </c>
      <c r="H15" s="271">
        <v>0</v>
      </c>
      <c r="I15" s="271">
        <v>16852</v>
      </c>
      <c r="J15" s="271">
        <v>0</v>
      </c>
      <c r="K15" s="110"/>
      <c r="L15" s="110"/>
      <c r="M15" s="110"/>
      <c r="N15" s="110"/>
      <c r="O15" s="110"/>
    </row>
    <row r="16" spans="1:17" x14ac:dyDescent="0.3">
      <c r="B16" s="271" t="s">
        <v>210</v>
      </c>
      <c r="C16" s="271"/>
      <c r="D16" s="271"/>
      <c r="E16" s="271"/>
      <c r="F16" s="271">
        <v>0</v>
      </c>
      <c r="G16" s="271">
        <v>0</v>
      </c>
      <c r="H16" s="271">
        <v>0</v>
      </c>
      <c r="I16" s="271">
        <v>3132</v>
      </c>
      <c r="J16" s="271">
        <v>0</v>
      </c>
      <c r="K16" s="109"/>
      <c r="L16" s="109"/>
      <c r="M16" s="109"/>
      <c r="N16" s="109"/>
      <c r="O16" s="109"/>
    </row>
    <row r="17" spans="2:15" x14ac:dyDescent="0.3">
      <c r="B17" s="271" t="s">
        <v>217</v>
      </c>
      <c r="C17" s="271"/>
      <c r="D17" s="271"/>
      <c r="E17" s="271"/>
      <c r="F17" s="271">
        <v>0</v>
      </c>
      <c r="G17" s="271">
        <v>0</v>
      </c>
      <c r="H17" s="271">
        <v>0</v>
      </c>
      <c r="I17" s="271">
        <v>7235</v>
      </c>
      <c r="J17" s="271">
        <v>0</v>
      </c>
      <c r="K17" s="110"/>
      <c r="L17" s="110"/>
      <c r="M17" s="110"/>
      <c r="N17" s="110"/>
      <c r="O17" s="110"/>
    </row>
    <row r="18" spans="2:15" x14ac:dyDescent="0.3">
      <c r="B18" s="271" t="s">
        <v>218</v>
      </c>
      <c r="C18" s="271"/>
      <c r="D18" s="271"/>
      <c r="E18" s="271"/>
      <c r="F18" s="271">
        <v>4711</v>
      </c>
      <c r="G18" s="271">
        <v>5348</v>
      </c>
      <c r="H18" s="271">
        <v>5770</v>
      </c>
      <c r="I18" s="271">
        <v>0</v>
      </c>
      <c r="J18" s="271">
        <v>0</v>
      </c>
      <c r="K18" s="110"/>
      <c r="L18" s="110"/>
      <c r="M18" s="109"/>
      <c r="N18" s="109"/>
      <c r="O18" s="110"/>
    </row>
    <row r="19" spans="2:15" x14ac:dyDescent="0.3">
      <c r="B19" s="271" t="s">
        <v>204</v>
      </c>
      <c r="C19" s="271"/>
      <c r="D19" s="271"/>
      <c r="E19" s="271"/>
      <c r="F19" s="271">
        <v>-1736</v>
      </c>
      <c r="G19" s="271">
        <v>-1713</v>
      </c>
      <c r="H19" s="271">
        <v>-1665</v>
      </c>
      <c r="I19" s="271">
        <v>-1657</v>
      </c>
      <c r="J19" s="271">
        <v>-1647</v>
      </c>
      <c r="K19" s="110"/>
      <c r="L19" s="110"/>
      <c r="M19" s="110"/>
      <c r="N19" s="110"/>
      <c r="O19" s="110"/>
    </row>
    <row r="20" spans="2:15" x14ac:dyDescent="0.3">
      <c r="B20" s="271" t="s">
        <v>205</v>
      </c>
      <c r="C20" s="271"/>
      <c r="D20" s="271"/>
      <c r="E20" s="271"/>
      <c r="F20" s="271">
        <v>-6050</v>
      </c>
      <c r="G20" s="271">
        <v>-17645</v>
      </c>
      <c r="H20" s="271">
        <v>-26088</v>
      </c>
      <c r="I20" s="271">
        <v>-57195</v>
      </c>
      <c r="J20" s="271">
        <v>-62234</v>
      </c>
      <c r="K20" s="110"/>
      <c r="L20" s="110"/>
      <c r="M20" s="110"/>
      <c r="N20" s="109"/>
      <c r="O20" s="110"/>
    </row>
    <row r="21" spans="2:15" x14ac:dyDescent="0.3">
      <c r="B21" s="271" t="s">
        <v>206</v>
      </c>
      <c r="C21" s="271"/>
      <c r="D21" s="271"/>
      <c r="E21" s="271"/>
      <c r="F21" s="271">
        <v>24</v>
      </c>
      <c r="G21" s="271">
        <v>306</v>
      </c>
      <c r="H21" s="271">
        <v>370</v>
      </c>
      <c r="I21" s="271">
        <v>421</v>
      </c>
      <c r="J21" s="271">
        <v>416</v>
      </c>
      <c r="K21" s="110"/>
      <c r="L21" s="110"/>
      <c r="M21" s="110"/>
      <c r="N21" s="110"/>
      <c r="O21" s="110"/>
    </row>
    <row r="22" spans="2:15" x14ac:dyDescent="0.3">
      <c r="B22" s="271" t="s">
        <v>207</v>
      </c>
      <c r="C22" s="271"/>
      <c r="D22" s="271"/>
      <c r="E22" s="271"/>
      <c r="F22" s="271">
        <v>613</v>
      </c>
      <c r="G22" s="271">
        <v>199</v>
      </c>
      <c r="H22" s="271">
        <v>1125</v>
      </c>
      <c r="I22" s="271">
        <v>293</v>
      </c>
      <c r="J22" s="271">
        <v>552</v>
      </c>
      <c r="K22" s="110"/>
      <c r="L22" s="110"/>
      <c r="M22" s="109"/>
      <c r="N22" s="110"/>
      <c r="O22" s="110"/>
    </row>
    <row r="23" spans="2:15" x14ac:dyDescent="0.3">
      <c r="B23" s="271" t="s">
        <v>208</v>
      </c>
      <c r="C23" s="271"/>
      <c r="D23" s="271"/>
      <c r="E23" s="271"/>
      <c r="F23" s="271">
        <v>-121</v>
      </c>
      <c r="G23" s="271">
        <v>-45</v>
      </c>
      <c r="H23" s="271">
        <v>-152</v>
      </c>
      <c r="I23" s="271">
        <v>-702</v>
      </c>
      <c r="J23" s="271">
        <v>-255</v>
      </c>
      <c r="K23" s="110"/>
      <c r="L23" s="110"/>
      <c r="M23" s="109"/>
      <c r="N23" s="109"/>
      <c r="O23" s="110"/>
    </row>
    <row r="24" spans="2:15" s="121" customFormat="1" x14ac:dyDescent="0.3">
      <c r="B24" s="119" t="s">
        <v>193</v>
      </c>
      <c r="C24" s="119"/>
      <c r="D24" s="119"/>
      <c r="E24" s="119"/>
      <c r="F24" s="119">
        <f>SUM(F6:F23)</f>
        <v>342149</v>
      </c>
      <c r="G24" s="119">
        <f t="shared" ref="G24:J24" si="0">SUM(G6:G23)</f>
        <v>347763</v>
      </c>
      <c r="H24" s="119">
        <f t="shared" si="0"/>
        <v>463332</v>
      </c>
      <c r="I24" s="119">
        <f t="shared" si="0"/>
        <v>638232</v>
      </c>
      <c r="J24" s="119">
        <f t="shared" si="0"/>
        <v>697152</v>
      </c>
      <c r="K24" s="122"/>
      <c r="L24" s="122"/>
      <c r="M24" s="123"/>
      <c r="N24" s="123"/>
      <c r="O24" s="122"/>
    </row>
    <row r="25" spans="2:15" x14ac:dyDescent="0.3">
      <c r="B25" s="120"/>
      <c r="C25" s="120"/>
      <c r="D25" s="120"/>
      <c r="E25" s="120"/>
      <c r="F25" s="120"/>
      <c r="G25" s="120"/>
      <c r="H25" s="120"/>
      <c r="I25" s="120"/>
      <c r="J25" s="120"/>
      <c r="K25" s="110"/>
      <c r="L25" s="110"/>
      <c r="M25" s="109"/>
      <c r="N25" s="109"/>
      <c r="O25" s="110"/>
    </row>
    <row r="26" spans="2:15" x14ac:dyDescent="0.3">
      <c r="B26" s="119" t="s">
        <v>194</v>
      </c>
      <c r="C26" s="120"/>
      <c r="D26" s="120"/>
      <c r="E26" s="120"/>
      <c r="F26" s="120"/>
      <c r="G26" s="120"/>
      <c r="H26" s="120"/>
      <c r="I26" s="120"/>
      <c r="J26" s="120"/>
      <c r="K26" s="110"/>
      <c r="L26" s="110"/>
      <c r="M26" s="109"/>
      <c r="N26" s="109"/>
      <c r="O26" s="110"/>
    </row>
    <row r="27" spans="2:15" x14ac:dyDescent="0.3">
      <c r="B27" s="271" t="s">
        <v>229</v>
      </c>
      <c r="C27" s="271"/>
      <c r="D27" s="271"/>
      <c r="E27" s="271"/>
      <c r="F27" s="271"/>
      <c r="G27" s="271"/>
      <c r="H27" s="271"/>
      <c r="I27" s="271"/>
      <c r="J27" s="271"/>
      <c r="K27" s="110"/>
      <c r="L27" s="110"/>
      <c r="M27" s="109"/>
      <c r="N27" s="109"/>
      <c r="O27" s="110"/>
    </row>
    <row r="28" spans="2:15" x14ac:dyDescent="0.3">
      <c r="B28" s="271" t="s">
        <v>219</v>
      </c>
      <c r="C28" s="271"/>
      <c r="D28" s="271"/>
      <c r="E28" s="271"/>
      <c r="F28" s="271">
        <v>16203</v>
      </c>
      <c r="G28" s="271">
        <v>45390</v>
      </c>
      <c r="H28" s="271">
        <v>-92539</v>
      </c>
      <c r="I28" s="271">
        <v>-119008</v>
      </c>
      <c r="J28" s="271">
        <v>-172399</v>
      </c>
      <c r="K28" s="111"/>
      <c r="L28" s="110"/>
      <c r="M28" s="109"/>
      <c r="N28" s="109"/>
      <c r="O28" s="110"/>
    </row>
    <row r="29" spans="2:15" x14ac:dyDescent="0.3">
      <c r="B29" s="271" t="s">
        <v>220</v>
      </c>
      <c r="C29" s="271"/>
      <c r="D29" s="271"/>
      <c r="E29" s="271"/>
      <c r="F29" s="271">
        <v>4079</v>
      </c>
      <c r="G29" s="271">
        <v>12</v>
      </c>
      <c r="H29" s="271">
        <v>48</v>
      </c>
      <c r="I29" s="271">
        <v>-16</v>
      </c>
      <c r="J29" s="271">
        <v>34</v>
      </c>
      <c r="K29" s="111"/>
      <c r="L29" s="110"/>
      <c r="M29" s="109"/>
      <c r="N29" s="109"/>
      <c r="O29" s="110"/>
    </row>
    <row r="30" spans="2:15" x14ac:dyDescent="0.3">
      <c r="B30" s="271" t="s">
        <v>221</v>
      </c>
      <c r="C30" s="271"/>
      <c r="D30" s="271"/>
      <c r="E30" s="271"/>
      <c r="F30" s="271">
        <v>-2713</v>
      </c>
      <c r="G30" s="271">
        <v>-3456</v>
      </c>
      <c r="H30" s="271">
        <v>-9456</v>
      </c>
      <c r="I30" s="271">
        <v>4565</v>
      </c>
      <c r="J30" s="271">
        <v>278</v>
      </c>
    </row>
    <row r="31" spans="2:15" x14ac:dyDescent="0.3">
      <c r="B31" s="271" t="s">
        <v>222</v>
      </c>
      <c r="C31" s="271"/>
      <c r="D31" s="271"/>
      <c r="E31" s="271"/>
      <c r="F31" s="271">
        <v>-90272</v>
      </c>
      <c r="G31" s="271">
        <v>-115459</v>
      </c>
      <c r="H31" s="271">
        <v>13784</v>
      </c>
      <c r="I31" s="271">
        <v>59255</v>
      </c>
      <c r="J31" s="271">
        <v>99836</v>
      </c>
    </row>
    <row r="32" spans="2:15" x14ac:dyDescent="0.3">
      <c r="B32" s="271" t="s">
        <v>223</v>
      </c>
      <c r="C32" s="271"/>
      <c r="D32" s="271"/>
      <c r="E32" s="271"/>
      <c r="F32" s="271">
        <v>-99651</v>
      </c>
      <c r="G32" s="271">
        <v>-61188</v>
      </c>
      <c r="H32" s="271">
        <v>-83467</v>
      </c>
      <c r="I32" s="271">
        <v>-106533</v>
      </c>
      <c r="J32" s="271">
        <v>-167209</v>
      </c>
    </row>
    <row r="33" spans="2:15" x14ac:dyDescent="0.3">
      <c r="B33" s="271" t="s">
        <v>224</v>
      </c>
      <c r="C33" s="271"/>
      <c r="D33" s="271"/>
      <c r="E33" s="271"/>
      <c r="F33" s="271">
        <v>84886</v>
      </c>
      <c r="G33" s="271">
        <v>7045</v>
      </c>
      <c r="H33" s="271">
        <v>-3889</v>
      </c>
      <c r="I33" s="271">
        <v>37556</v>
      </c>
      <c r="J33" s="271">
        <v>-36754</v>
      </c>
    </row>
    <row r="34" spans="2:15" x14ac:dyDescent="0.3">
      <c r="B34" s="271" t="s">
        <v>225</v>
      </c>
      <c r="C34" s="271"/>
      <c r="D34" s="271"/>
      <c r="E34" s="271"/>
      <c r="F34" s="271">
        <v>7891</v>
      </c>
      <c r="G34" s="271">
        <v>6093</v>
      </c>
      <c r="H34" s="271">
        <v>32025</v>
      </c>
      <c r="I34" s="271">
        <v>3351</v>
      </c>
      <c r="J34" s="271">
        <v>6496</v>
      </c>
    </row>
    <row r="35" spans="2:15" x14ac:dyDescent="0.3">
      <c r="B35" s="271" t="s">
        <v>226</v>
      </c>
      <c r="C35" s="271"/>
      <c r="D35" s="271"/>
      <c r="E35" s="271"/>
      <c r="F35" s="271">
        <v>14650</v>
      </c>
      <c r="G35" s="271">
        <v>26755</v>
      </c>
      <c r="H35" s="271">
        <v>-97882</v>
      </c>
      <c r="I35" s="271">
        <v>-8694</v>
      </c>
      <c r="J35" s="271">
        <v>-1026</v>
      </c>
    </row>
    <row r="36" spans="2:15" x14ac:dyDescent="0.3">
      <c r="B36" s="271" t="s">
        <v>227</v>
      </c>
      <c r="C36" s="271"/>
      <c r="D36" s="271"/>
      <c r="E36" s="271"/>
      <c r="F36" s="271">
        <v>297706</v>
      </c>
      <c r="G36" s="271">
        <v>260611</v>
      </c>
      <c r="H36" s="271">
        <v>48999</v>
      </c>
      <c r="I36" s="271">
        <v>99078</v>
      </c>
      <c r="J36" s="271">
        <v>-200282</v>
      </c>
    </row>
    <row r="37" spans="2:15" x14ac:dyDescent="0.3">
      <c r="B37" s="271" t="s">
        <v>228</v>
      </c>
      <c r="C37" s="271"/>
      <c r="D37" s="271"/>
      <c r="E37" s="271"/>
      <c r="F37" s="271">
        <v>-12299</v>
      </c>
      <c r="G37" s="271">
        <v>-12415</v>
      </c>
      <c r="H37" s="271">
        <v>-15411</v>
      </c>
      <c r="I37" s="271">
        <v>0</v>
      </c>
      <c r="J37" s="271">
        <v>0</v>
      </c>
    </row>
    <row r="38" spans="2:15" x14ac:dyDescent="0.3">
      <c r="B38" s="119" t="s">
        <v>230</v>
      </c>
      <c r="C38" s="120"/>
      <c r="D38" s="120"/>
      <c r="E38" s="120"/>
      <c r="F38" s="120">
        <f>SUM(F24,F28:F37)</f>
        <v>562629</v>
      </c>
      <c r="G38" s="120">
        <f t="shared" ref="G38:J38" si="1">SUM(G24,G28:G37)</f>
        <v>501151</v>
      </c>
      <c r="H38" s="120">
        <f t="shared" si="1"/>
        <v>255544</v>
      </c>
      <c r="I38" s="120">
        <f t="shared" si="1"/>
        <v>607786</v>
      </c>
      <c r="J38" s="120">
        <f t="shared" si="1"/>
        <v>226126</v>
      </c>
    </row>
    <row r="39" spans="2:15" x14ac:dyDescent="0.3">
      <c r="B39" s="271" t="s">
        <v>231</v>
      </c>
      <c r="C39" s="271"/>
      <c r="D39" s="271"/>
      <c r="E39" s="271"/>
      <c r="F39" s="271">
        <v>-53307</v>
      </c>
      <c r="G39" s="271">
        <v>-80429</v>
      </c>
      <c r="H39" s="271">
        <v>-91322</v>
      </c>
      <c r="I39" s="271">
        <v>-141837</v>
      </c>
      <c r="J39" s="271">
        <v>-167464</v>
      </c>
    </row>
    <row r="40" spans="2:15" x14ac:dyDescent="0.3">
      <c r="B40" s="271" t="s">
        <v>232</v>
      </c>
      <c r="C40" s="271"/>
      <c r="D40" s="271"/>
      <c r="E40" s="271"/>
      <c r="F40" s="271">
        <f>SUM(F38:F39)</f>
        <v>509322</v>
      </c>
      <c r="G40" s="271">
        <f t="shared" ref="G40:J40" si="2">SUM(G38:G39)</f>
        <v>420722</v>
      </c>
      <c r="H40" s="271">
        <f t="shared" si="2"/>
        <v>164222</v>
      </c>
      <c r="I40" s="271">
        <f t="shared" si="2"/>
        <v>465949</v>
      </c>
      <c r="J40" s="271">
        <f t="shared" si="2"/>
        <v>58662</v>
      </c>
    </row>
    <row r="41" spans="2:15" x14ac:dyDescent="0.3">
      <c r="B41" s="271" t="s">
        <v>233</v>
      </c>
      <c r="C41" s="271"/>
      <c r="D41" s="271"/>
      <c r="E41" s="271"/>
      <c r="F41" s="271">
        <v>0</v>
      </c>
      <c r="G41" s="271">
        <v>0</v>
      </c>
      <c r="H41" s="271">
        <v>0</v>
      </c>
      <c r="I41" s="271">
        <v>0</v>
      </c>
      <c r="J41" s="271">
        <v>0</v>
      </c>
    </row>
    <row r="42" spans="2:15" s="121" customFormat="1" x14ac:dyDescent="0.3">
      <c r="B42" s="119" t="s">
        <v>195</v>
      </c>
      <c r="C42" s="119"/>
      <c r="D42" s="119"/>
      <c r="E42" s="119"/>
      <c r="F42" s="119">
        <f>F40+F41</f>
        <v>509322</v>
      </c>
      <c r="G42" s="119">
        <f t="shared" ref="G42:J42" si="3">G40+G41</f>
        <v>420722</v>
      </c>
      <c r="H42" s="119">
        <f t="shared" si="3"/>
        <v>164222</v>
      </c>
      <c r="I42" s="119">
        <f t="shared" si="3"/>
        <v>465949</v>
      </c>
      <c r="J42" s="119">
        <f t="shared" si="3"/>
        <v>58662</v>
      </c>
    </row>
    <row r="43" spans="2:15" x14ac:dyDescent="0.3">
      <c r="B43" s="120"/>
      <c r="C43" s="120"/>
      <c r="D43" s="120"/>
      <c r="E43" s="120"/>
      <c r="F43" s="120"/>
      <c r="G43" s="120"/>
      <c r="H43" s="120"/>
      <c r="I43" s="120"/>
      <c r="J43" s="120"/>
    </row>
    <row r="44" spans="2:15" x14ac:dyDescent="0.3">
      <c r="B44" s="118" t="s">
        <v>245</v>
      </c>
      <c r="C44" s="118"/>
      <c r="D44" s="118"/>
      <c r="E44" s="118"/>
      <c r="F44" s="118"/>
      <c r="G44" s="118"/>
      <c r="H44" s="118"/>
      <c r="I44" s="118"/>
      <c r="J44" s="118"/>
      <c r="K44" s="116"/>
      <c r="L44" s="116"/>
      <c r="M44" s="116"/>
      <c r="N44" s="116"/>
      <c r="O44" s="116"/>
    </row>
    <row r="45" spans="2:15" x14ac:dyDescent="0.3">
      <c r="B45" s="271" t="s">
        <v>234</v>
      </c>
      <c r="C45" s="271"/>
      <c r="D45" s="271"/>
      <c r="E45" s="271"/>
      <c r="F45" s="271">
        <v>-46925</v>
      </c>
      <c r="G45" s="271">
        <v>-55456</v>
      </c>
      <c r="H45" s="271">
        <v>-59045</v>
      </c>
      <c r="I45" s="271">
        <v>-65253</v>
      </c>
      <c r="J45" s="271">
        <v>-101128</v>
      </c>
    </row>
    <row r="46" spans="2:15" x14ac:dyDescent="0.3">
      <c r="B46" s="271" t="s">
        <v>235</v>
      </c>
      <c r="C46" s="271"/>
      <c r="D46" s="271"/>
      <c r="E46" s="271"/>
      <c r="F46" s="271">
        <v>0</v>
      </c>
      <c r="G46" s="271">
        <v>0</v>
      </c>
      <c r="H46" s="271">
        <v>228</v>
      </c>
      <c r="I46" s="271">
        <v>10</v>
      </c>
      <c r="J46" s="271">
        <v>7</v>
      </c>
    </row>
    <row r="47" spans="2:15" x14ac:dyDescent="0.3">
      <c r="B47" s="271" t="s">
        <v>236</v>
      </c>
      <c r="C47" s="271"/>
      <c r="D47" s="271"/>
      <c r="E47" s="271"/>
      <c r="F47" s="271">
        <v>133</v>
      </c>
      <c r="G47" s="271">
        <v>740</v>
      </c>
      <c r="H47" s="271">
        <v>170</v>
      </c>
      <c r="I47" s="271">
        <v>853</v>
      </c>
      <c r="J47" s="271">
        <v>305</v>
      </c>
    </row>
    <row r="48" spans="2:15" x14ac:dyDescent="0.3">
      <c r="B48" s="271" t="s">
        <v>237</v>
      </c>
      <c r="C48" s="271"/>
      <c r="D48" s="271"/>
      <c r="E48" s="271"/>
      <c r="F48" s="271">
        <v>-199223</v>
      </c>
      <c r="G48" s="271">
        <v>-423480</v>
      </c>
      <c r="H48" s="271">
        <v>209439</v>
      </c>
      <c r="I48" s="271">
        <v>-569004</v>
      </c>
      <c r="J48" s="271">
        <v>101249</v>
      </c>
    </row>
    <row r="49" spans="2:15" x14ac:dyDescent="0.3">
      <c r="B49" s="271" t="s">
        <v>238</v>
      </c>
      <c r="C49" s="271"/>
      <c r="D49" s="271"/>
      <c r="E49" s="271"/>
      <c r="F49" s="271">
        <v>-19557</v>
      </c>
      <c r="G49" s="271">
        <v>-26615</v>
      </c>
      <c r="H49" s="271">
        <v>92204</v>
      </c>
      <c r="I49" s="271">
        <v>-3251</v>
      </c>
      <c r="J49" s="271">
        <v>-6083</v>
      </c>
    </row>
    <row r="50" spans="2:15" x14ac:dyDescent="0.3">
      <c r="B50" s="271" t="s">
        <v>239</v>
      </c>
      <c r="C50" s="271"/>
      <c r="D50" s="271"/>
      <c r="E50" s="271"/>
      <c r="F50" s="271">
        <v>6050</v>
      </c>
      <c r="G50" s="271">
        <v>17645</v>
      </c>
      <c r="H50" s="271">
        <v>26088</v>
      </c>
      <c r="I50" s="271">
        <v>44260</v>
      </c>
      <c r="J50" s="271">
        <v>67344</v>
      </c>
    </row>
    <row r="51" spans="2:15" x14ac:dyDescent="0.3">
      <c r="B51" s="119" t="s">
        <v>240</v>
      </c>
      <c r="C51" s="119"/>
      <c r="D51" s="119"/>
      <c r="E51" s="119"/>
      <c r="F51" s="119">
        <f>SUM(F45:F50)</f>
        <v>-259522</v>
      </c>
      <c r="G51" s="119">
        <f t="shared" ref="G51:J51" si="4">SUM(G45:G50)</f>
        <v>-487166</v>
      </c>
      <c r="H51" s="119">
        <f t="shared" si="4"/>
        <v>269084</v>
      </c>
      <c r="I51" s="119">
        <f t="shared" si="4"/>
        <v>-592385</v>
      </c>
      <c r="J51" s="119">
        <f t="shared" si="4"/>
        <v>61694</v>
      </c>
    </row>
    <row r="52" spans="2:15" x14ac:dyDescent="0.3">
      <c r="B52" s="120"/>
      <c r="C52" s="120"/>
      <c r="D52" s="120"/>
      <c r="E52" s="120"/>
      <c r="F52" s="120"/>
      <c r="G52" s="120"/>
      <c r="H52" s="120"/>
      <c r="I52" s="120"/>
      <c r="J52" s="120"/>
    </row>
    <row r="53" spans="2:15" x14ac:dyDescent="0.3">
      <c r="B53" s="118" t="s">
        <v>196</v>
      </c>
      <c r="C53" s="118"/>
      <c r="D53" s="118"/>
      <c r="E53" s="118"/>
      <c r="F53" s="118"/>
      <c r="G53" s="118"/>
      <c r="H53" s="118"/>
      <c r="I53" s="118"/>
      <c r="J53" s="118"/>
      <c r="K53" s="116"/>
      <c r="L53" s="116"/>
      <c r="M53" s="116"/>
      <c r="N53" s="116"/>
      <c r="O53" s="116"/>
    </row>
    <row r="54" spans="2:15" x14ac:dyDescent="0.3">
      <c r="B54" s="271" t="s">
        <v>241</v>
      </c>
      <c r="C54" s="271"/>
      <c r="D54" s="271"/>
      <c r="E54" s="271"/>
      <c r="F54" s="271">
        <v>-832</v>
      </c>
      <c r="G54" s="271">
        <v>0</v>
      </c>
      <c r="H54" s="271">
        <v>0</v>
      </c>
      <c r="I54" s="271">
        <v>0</v>
      </c>
      <c r="J54" s="271">
        <v>0</v>
      </c>
    </row>
    <row r="55" spans="2:15" x14ac:dyDescent="0.3">
      <c r="B55" s="271" t="s">
        <v>242</v>
      </c>
      <c r="C55" s="271"/>
      <c r="D55" s="271"/>
      <c r="E55" s="271"/>
      <c r="F55" s="271">
        <v>-3670</v>
      </c>
      <c r="G55" s="271">
        <v>-4757</v>
      </c>
      <c r="H55" s="271">
        <v>0</v>
      </c>
      <c r="I55" s="271">
        <v>0</v>
      </c>
      <c r="J55" s="271">
        <v>0</v>
      </c>
    </row>
    <row r="56" spans="2:15" x14ac:dyDescent="0.3">
      <c r="B56" s="271" t="s">
        <v>243</v>
      </c>
      <c r="C56" s="271"/>
      <c r="D56" s="271"/>
      <c r="E56" s="271"/>
      <c r="F56" s="271">
        <v>-102274</v>
      </c>
      <c r="G56" s="271">
        <v>-102331</v>
      </c>
      <c r="H56" s="271">
        <v>-124280</v>
      </c>
      <c r="I56" s="271">
        <v>-146209</v>
      </c>
      <c r="J56" s="271">
        <v>-168078</v>
      </c>
    </row>
    <row r="57" spans="2:15" x14ac:dyDescent="0.3">
      <c r="B57" s="271" t="s">
        <v>244</v>
      </c>
      <c r="C57" s="271"/>
      <c r="D57" s="271"/>
      <c r="E57" s="271"/>
      <c r="F57" s="271">
        <v>-159</v>
      </c>
      <c r="G57" s="271">
        <v>-167</v>
      </c>
      <c r="H57" s="271">
        <v>-433</v>
      </c>
      <c r="I57" s="271">
        <v>-578</v>
      </c>
      <c r="J57" s="271">
        <v>-597</v>
      </c>
    </row>
    <row r="58" spans="2:15" x14ac:dyDescent="0.3">
      <c r="B58" s="271" t="s">
        <v>206</v>
      </c>
      <c r="C58" s="271"/>
      <c r="D58" s="271"/>
      <c r="E58" s="271"/>
      <c r="F58" s="271">
        <v>-24</v>
      </c>
      <c r="G58" s="271">
        <v>-306</v>
      </c>
      <c r="H58" s="271">
        <v>-370</v>
      </c>
      <c r="I58" s="271">
        <v>-421</v>
      </c>
      <c r="J58" s="271">
        <v>-416</v>
      </c>
    </row>
    <row r="59" spans="2:15" x14ac:dyDescent="0.3">
      <c r="B59" s="271" t="s">
        <v>207</v>
      </c>
      <c r="C59" s="271"/>
      <c r="D59" s="271"/>
      <c r="E59" s="271"/>
      <c r="F59" s="271">
        <v>-613</v>
      </c>
      <c r="G59" s="271">
        <v>-199</v>
      </c>
      <c r="H59" s="271">
        <v>-1125</v>
      </c>
      <c r="I59" s="271">
        <v>-293</v>
      </c>
      <c r="J59" s="271">
        <v>-552</v>
      </c>
    </row>
    <row r="60" spans="2:15" s="117" customFormat="1" x14ac:dyDescent="0.3">
      <c r="B60" s="119" t="s">
        <v>200</v>
      </c>
      <c r="C60" s="119"/>
      <c r="D60" s="119"/>
      <c r="E60" s="119"/>
      <c r="F60" s="119">
        <f>SUM(F54:F59)</f>
        <v>-107572</v>
      </c>
      <c r="G60" s="119">
        <f t="shared" ref="G60:I60" si="5">SUM(G54:G59)</f>
        <v>-107760</v>
      </c>
      <c r="H60" s="119">
        <f t="shared" si="5"/>
        <v>-126208</v>
      </c>
      <c r="I60" s="119">
        <f t="shared" si="5"/>
        <v>-147501</v>
      </c>
      <c r="J60" s="119">
        <f>SUM(J54:J59)</f>
        <v>-169643</v>
      </c>
    </row>
    <row r="61" spans="2:15" x14ac:dyDescent="0.3">
      <c r="B61" s="120"/>
      <c r="C61" s="120"/>
      <c r="D61" s="120"/>
      <c r="E61" s="120"/>
      <c r="F61" s="120"/>
      <c r="G61" s="120"/>
      <c r="H61" s="120"/>
      <c r="I61" s="120"/>
      <c r="J61" s="120"/>
    </row>
    <row r="62" spans="2:15" x14ac:dyDescent="0.3">
      <c r="B62" s="118" t="s">
        <v>197</v>
      </c>
      <c r="C62" s="118"/>
      <c r="D62" s="118"/>
      <c r="E62" s="118"/>
      <c r="F62" s="118">
        <f>SUM(F42,F51,F60)</f>
        <v>142228</v>
      </c>
      <c r="G62" s="118">
        <f t="shared" ref="G62:I62" si="6">SUM(G42,G51,G60)</f>
        <v>-174204</v>
      </c>
      <c r="H62" s="118">
        <f t="shared" si="6"/>
        <v>307098</v>
      </c>
      <c r="I62" s="118">
        <f t="shared" si="6"/>
        <v>-273937</v>
      </c>
      <c r="J62" s="118">
        <f>SUM(J42,J51,J60)</f>
        <v>-49287</v>
      </c>
      <c r="K62" s="124"/>
      <c r="L62" s="124"/>
      <c r="M62" s="124"/>
      <c r="N62" s="124"/>
      <c r="O62" s="124"/>
    </row>
    <row r="63" spans="2:15" x14ac:dyDescent="0.3">
      <c r="B63" s="271" t="s">
        <v>198</v>
      </c>
      <c r="C63" s="271"/>
      <c r="D63" s="271"/>
      <c r="E63" s="271"/>
      <c r="F63" s="271">
        <v>162063</v>
      </c>
      <c r="G63" s="271">
        <v>304290</v>
      </c>
      <c r="H63" s="271">
        <v>130086</v>
      </c>
      <c r="I63" s="271">
        <v>394569</v>
      </c>
      <c r="J63" s="271">
        <v>120632</v>
      </c>
    </row>
    <row r="64" spans="2:15" x14ac:dyDescent="0.3">
      <c r="B64" s="271" t="s">
        <v>199</v>
      </c>
      <c r="C64" s="271"/>
      <c r="D64" s="271"/>
      <c r="E64" s="271"/>
      <c r="F64" s="271">
        <f>F62+F63</f>
        <v>304291</v>
      </c>
      <c r="G64" s="271">
        <f t="shared" ref="G64:I64" si="7">G62+G63</f>
        <v>130086</v>
      </c>
      <c r="H64" s="271">
        <f t="shared" si="7"/>
        <v>437184</v>
      </c>
      <c r="I64" s="271">
        <f t="shared" si="7"/>
        <v>120632</v>
      </c>
      <c r="J64" s="271">
        <f>J62+J63</f>
        <v>71345</v>
      </c>
    </row>
  </sheetData>
  <mergeCells count="2">
    <mergeCell ref="B2:F2"/>
    <mergeCell ref="B1:I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36959-6C7D-428E-935B-AE17374A0BB8}">
  <dimension ref="A1:Q14"/>
  <sheetViews>
    <sheetView showGridLines="0" workbookViewId="0">
      <selection activeCell="J3" sqref="J3"/>
    </sheetView>
  </sheetViews>
  <sheetFormatPr defaultRowHeight="14.4" x14ac:dyDescent="0.3"/>
  <cols>
    <col min="1" max="1" width="2.33203125" customWidth="1"/>
    <col min="2" max="2" width="39.21875" customWidth="1"/>
    <col min="6" max="6" width="11.6640625" bestFit="1" customWidth="1"/>
    <col min="7" max="7" width="13.44140625" bestFit="1" customWidth="1"/>
    <col min="8" max="8" width="14.109375" bestFit="1" customWidth="1"/>
    <col min="9" max="9" width="15.109375" bestFit="1" customWidth="1"/>
  </cols>
  <sheetData>
    <row r="1" spans="1:17" ht="62.4" x14ac:dyDescent="1.2">
      <c r="A1" s="35"/>
      <c r="B1" s="334" t="s">
        <v>476</v>
      </c>
      <c r="C1" s="334"/>
      <c r="D1" s="334"/>
      <c r="E1" s="334"/>
      <c r="F1" s="334"/>
      <c r="G1" s="334"/>
      <c r="H1" s="334"/>
      <c r="I1" s="334"/>
      <c r="J1" s="112"/>
      <c r="K1" s="113"/>
      <c r="L1" s="113"/>
      <c r="M1" s="113"/>
      <c r="N1" s="113"/>
      <c r="O1" s="113"/>
      <c r="P1" s="33"/>
      <c r="Q1" s="33"/>
    </row>
    <row r="3" spans="1:17" s="302" customFormat="1" ht="18" x14ac:dyDescent="0.35">
      <c r="A3" s="300"/>
      <c r="B3" s="300" t="s">
        <v>466</v>
      </c>
      <c r="C3" s="301"/>
      <c r="D3" s="301"/>
      <c r="E3" s="301"/>
      <c r="F3" s="301"/>
      <c r="G3" s="301"/>
      <c r="H3" s="301"/>
      <c r="I3" s="301"/>
      <c r="J3" s="301"/>
      <c r="K3" s="176"/>
    </row>
    <row r="5" spans="1:17" ht="60" x14ac:dyDescent="0.3">
      <c r="B5" s="59"/>
      <c r="C5" s="59"/>
      <c r="D5" s="303" t="s">
        <v>296</v>
      </c>
      <c r="E5" s="303" t="s">
        <v>467</v>
      </c>
      <c r="F5" s="305" t="s">
        <v>468</v>
      </c>
      <c r="G5" s="305" t="s">
        <v>469</v>
      </c>
    </row>
    <row r="6" spans="1:17" x14ac:dyDescent="0.3">
      <c r="B6" s="59"/>
      <c r="C6" s="59"/>
      <c r="D6" s="306"/>
      <c r="E6" s="306"/>
      <c r="F6" s="307"/>
      <c r="G6" s="307"/>
    </row>
    <row r="7" spans="1:17" x14ac:dyDescent="0.3">
      <c r="B7" s="271" t="s">
        <v>470</v>
      </c>
      <c r="C7" s="271"/>
      <c r="D7" s="308">
        <f>MAX('Comps valution'!I21:I23)</f>
        <v>4585.6398259870311</v>
      </c>
      <c r="E7" s="271">
        <v>219</v>
      </c>
      <c r="F7" s="271">
        <v>473</v>
      </c>
      <c r="G7" s="271">
        <v>593</v>
      </c>
    </row>
    <row r="8" spans="1:17" x14ac:dyDescent="0.3">
      <c r="B8" s="271" t="s">
        <v>470</v>
      </c>
      <c r="C8" s="271"/>
      <c r="D8" s="308">
        <f>D7</f>
        <v>4585.6398259870311</v>
      </c>
      <c r="E8" s="271">
        <v>219</v>
      </c>
      <c r="F8" s="271">
        <f>F7</f>
        <v>473</v>
      </c>
      <c r="G8" s="271">
        <f>G7</f>
        <v>593</v>
      </c>
    </row>
    <row r="9" spans="1:17" x14ac:dyDescent="0.3">
      <c r="B9" s="271" t="s">
        <v>471</v>
      </c>
      <c r="C9" s="271"/>
      <c r="D9" s="308">
        <f>MIN('Comps valution'!I21:I23)</f>
        <v>128.47452734684944</v>
      </c>
      <c r="E9" s="271">
        <v>65</v>
      </c>
      <c r="F9" s="271">
        <v>253</v>
      </c>
      <c r="G9" s="271">
        <v>263</v>
      </c>
    </row>
    <row r="10" spans="1:17" x14ac:dyDescent="0.3">
      <c r="B10" s="271" t="s">
        <v>471</v>
      </c>
      <c r="C10" s="271"/>
      <c r="D10" s="308">
        <f>D9</f>
        <v>128.47452734684944</v>
      </c>
      <c r="E10" s="271">
        <v>65</v>
      </c>
      <c r="F10" s="271">
        <f>F9</f>
        <v>253</v>
      </c>
      <c r="G10" s="271">
        <f>G9</f>
        <v>263</v>
      </c>
      <c r="K10" s="32"/>
    </row>
    <row r="11" spans="1:17" x14ac:dyDescent="0.3">
      <c r="F11" s="304"/>
      <c r="G11" s="304"/>
      <c r="H11" s="304"/>
      <c r="I11" s="304"/>
      <c r="K11" s="32"/>
    </row>
    <row r="12" spans="1:17" s="310" customFormat="1" ht="18" x14ac:dyDescent="0.35">
      <c r="A12" s="309"/>
      <c r="B12" s="309" t="s">
        <v>472</v>
      </c>
      <c r="C12" s="185"/>
      <c r="D12" s="185"/>
      <c r="E12" s="185"/>
      <c r="F12" s="185"/>
      <c r="G12" s="185"/>
      <c r="H12" s="185"/>
      <c r="I12" s="185"/>
      <c r="J12" s="185"/>
      <c r="K12" s="311"/>
    </row>
    <row r="13" spans="1:17" x14ac:dyDescent="0.3">
      <c r="K13" s="32"/>
    </row>
    <row r="14" spans="1:17" x14ac:dyDescent="0.3">
      <c r="K14" s="32"/>
    </row>
  </sheetData>
  <mergeCells count="1">
    <mergeCell ref="B1:I1"/>
  </mergeCells>
  <pageMargins left="0.7" right="0.7" top="0.75" bottom="0.75" header="0.3" footer="0.3"/>
  <ignoredErrors>
    <ignoredError sqref="D9"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468D-CBDE-40D2-9D74-6C8E6D106EEF}">
  <sheetPr>
    <tabColor theme="0" tint="-0.34998626667073579"/>
  </sheetPr>
  <dimension ref="A1:O52"/>
  <sheetViews>
    <sheetView showGridLines="0" workbookViewId="0">
      <selection activeCell="D1" sqref="D1:O1"/>
    </sheetView>
  </sheetViews>
  <sheetFormatPr defaultRowHeight="14.4" x14ac:dyDescent="0.3"/>
  <cols>
    <col min="1" max="1" width="2.33203125" customWidth="1"/>
    <col min="2" max="2" width="10.33203125" bestFit="1" customWidth="1"/>
    <col min="3" max="3" width="12.77734375" bestFit="1" customWidth="1"/>
    <col min="4" max="4" width="10.33203125" bestFit="1" customWidth="1"/>
    <col min="5" max="5" width="11.21875" bestFit="1" customWidth="1"/>
    <col min="6" max="6" width="10.33203125" bestFit="1" customWidth="1"/>
  </cols>
  <sheetData>
    <row r="1" spans="1:15" s="33" customFormat="1" ht="61.8" customHeight="1" x14ac:dyDescent="1.2">
      <c r="A1" s="35"/>
      <c r="B1" s="35"/>
      <c r="C1" s="35"/>
      <c r="D1" s="334" t="s">
        <v>93</v>
      </c>
      <c r="E1" s="334"/>
      <c r="F1" s="334"/>
      <c r="G1" s="334"/>
      <c r="H1" s="334"/>
      <c r="I1" s="334"/>
      <c r="J1" s="334"/>
      <c r="K1" s="334"/>
      <c r="L1" s="334"/>
      <c r="M1" s="334"/>
      <c r="N1" s="334"/>
      <c r="O1" s="334"/>
    </row>
    <row r="2" spans="1:15" x14ac:dyDescent="0.3">
      <c r="B2" s="40" t="s">
        <v>248</v>
      </c>
    </row>
    <row r="4" spans="1:15" x14ac:dyDescent="0.3">
      <c r="B4" s="125"/>
      <c r="C4" s="125" t="s">
        <v>249</v>
      </c>
      <c r="D4" s="125" t="s">
        <v>250</v>
      </c>
      <c r="E4" s="125" t="s">
        <v>251</v>
      </c>
      <c r="F4" s="125" t="s">
        <v>250</v>
      </c>
    </row>
    <row r="5" spans="1:15" x14ac:dyDescent="0.3">
      <c r="B5" s="125" t="s">
        <v>247</v>
      </c>
      <c r="C5" s="125" t="s">
        <v>252</v>
      </c>
      <c r="D5" s="125" t="s">
        <v>253</v>
      </c>
      <c r="E5" s="125" t="s">
        <v>252</v>
      </c>
      <c r="F5" s="125" t="s">
        <v>253</v>
      </c>
    </row>
    <row r="6" spans="1:15" x14ac:dyDescent="0.3">
      <c r="B6" s="127">
        <v>44317</v>
      </c>
      <c r="C6" s="129">
        <v>1505526495</v>
      </c>
      <c r="E6" s="128">
        <v>45.37</v>
      </c>
    </row>
    <row r="7" spans="1:15" x14ac:dyDescent="0.3">
      <c r="B7" s="127">
        <v>44348</v>
      </c>
      <c r="C7" s="129">
        <v>1186761072</v>
      </c>
      <c r="D7" s="126">
        <f>C7/C6-1</f>
        <v>-0.21173019807931048</v>
      </c>
      <c r="E7" s="128">
        <v>55.55</v>
      </c>
      <c r="F7" s="126">
        <f>E7/E6-1</f>
        <v>0.2243773418558519</v>
      </c>
    </row>
    <row r="8" spans="1:15" x14ac:dyDescent="0.3">
      <c r="B8" s="127">
        <v>44378</v>
      </c>
      <c r="C8" s="129">
        <v>588864033</v>
      </c>
      <c r="D8" s="126">
        <f t="shared" ref="D8:D52" si="0">C8/C7-1</f>
        <v>-0.50380573908814563</v>
      </c>
      <c r="E8" s="128">
        <v>57.62</v>
      </c>
      <c r="F8" s="126">
        <f t="shared" ref="F8:F52" si="1">E8/E7-1</f>
        <v>3.7263726372637196E-2</v>
      </c>
    </row>
    <row r="9" spans="1:15" x14ac:dyDescent="0.3">
      <c r="B9" s="127">
        <v>44409</v>
      </c>
      <c r="C9" s="129">
        <v>573740100</v>
      </c>
      <c r="D9" s="126">
        <f t="shared" si="0"/>
        <v>-2.5683234418224399E-2</v>
      </c>
      <c r="E9" s="128">
        <v>58.25</v>
      </c>
      <c r="F9" s="126">
        <f t="shared" si="1"/>
        <v>1.0933703575147558E-2</v>
      </c>
    </row>
    <row r="10" spans="1:15" x14ac:dyDescent="0.3">
      <c r="B10" s="127">
        <v>44440</v>
      </c>
      <c r="C10" s="129">
        <v>472297200</v>
      </c>
      <c r="D10" s="126">
        <f t="shared" si="0"/>
        <v>-0.17680984822221768</v>
      </c>
      <c r="E10" s="128">
        <v>63.33</v>
      </c>
      <c r="F10" s="126">
        <f t="shared" si="1"/>
        <v>8.7210300429184429E-2</v>
      </c>
    </row>
    <row r="11" spans="1:15" x14ac:dyDescent="0.3">
      <c r="B11" s="127">
        <v>44470</v>
      </c>
      <c r="C11" s="129">
        <v>399386091</v>
      </c>
      <c r="D11" s="126">
        <f t="shared" si="0"/>
        <v>-0.1543754843348637</v>
      </c>
      <c r="E11" s="128">
        <v>64.95</v>
      </c>
      <c r="F11" s="126">
        <f t="shared" si="1"/>
        <v>2.5580293699668522E-2</v>
      </c>
    </row>
    <row r="12" spans="1:15" x14ac:dyDescent="0.3">
      <c r="B12" s="127">
        <v>44501</v>
      </c>
      <c r="C12" s="129">
        <v>409649820</v>
      </c>
      <c r="D12" s="126">
        <f t="shared" si="0"/>
        <v>2.5698764256665063E-2</v>
      </c>
      <c r="E12" s="128">
        <v>63.97</v>
      </c>
      <c r="F12" s="126">
        <f t="shared" si="1"/>
        <v>-1.5088529638183301E-2</v>
      </c>
    </row>
    <row r="13" spans="1:15" x14ac:dyDescent="0.3">
      <c r="B13" s="127">
        <v>44531</v>
      </c>
      <c r="C13" s="129">
        <v>367604007</v>
      </c>
      <c r="D13" s="126">
        <f t="shared" si="0"/>
        <v>-0.10263842664449363</v>
      </c>
      <c r="E13" s="128">
        <v>65.92</v>
      </c>
      <c r="F13" s="126">
        <f t="shared" si="1"/>
        <v>3.0483038924495887E-2</v>
      </c>
    </row>
    <row r="14" spans="1:15" x14ac:dyDescent="0.3">
      <c r="B14" s="127">
        <v>44562</v>
      </c>
      <c r="C14" s="129">
        <v>408048816</v>
      </c>
      <c r="D14" s="126">
        <f t="shared" si="0"/>
        <v>0.11002276425131563</v>
      </c>
      <c r="E14" s="128">
        <v>65.84</v>
      </c>
      <c r="F14" s="126">
        <f t="shared" si="1"/>
        <v>-1.2135922330096527E-3</v>
      </c>
    </row>
    <row r="15" spans="1:15" x14ac:dyDescent="0.3">
      <c r="B15" s="127">
        <v>44593</v>
      </c>
      <c r="C15" s="129">
        <v>382511754</v>
      </c>
      <c r="D15" s="126">
        <f t="shared" si="0"/>
        <v>-6.2583350321496867E-2</v>
      </c>
      <c r="E15" s="128">
        <v>66.08</v>
      </c>
      <c r="F15" s="126">
        <f t="shared" si="1"/>
        <v>3.6452004860265674E-3</v>
      </c>
    </row>
    <row r="16" spans="1:15" x14ac:dyDescent="0.3">
      <c r="B16" s="127">
        <v>44621</v>
      </c>
      <c r="C16" s="129">
        <v>592569945</v>
      </c>
      <c r="D16" s="126">
        <f t="shared" si="0"/>
        <v>0.5491548659704717</v>
      </c>
      <c r="E16" s="128">
        <v>66.69</v>
      </c>
      <c r="F16" s="126">
        <f t="shared" si="1"/>
        <v>9.2312348668279753E-3</v>
      </c>
    </row>
    <row r="17" spans="2:6" x14ac:dyDescent="0.3">
      <c r="B17" s="127">
        <v>44652</v>
      </c>
      <c r="C17" s="129">
        <v>756720162</v>
      </c>
      <c r="D17" s="126">
        <f t="shared" si="0"/>
        <v>0.2770140780595951</v>
      </c>
      <c r="E17" s="128">
        <v>76.02</v>
      </c>
      <c r="F17" s="126">
        <f t="shared" si="1"/>
        <v>0.13990103463787662</v>
      </c>
    </row>
    <row r="18" spans="2:6" x14ac:dyDescent="0.3">
      <c r="B18" s="127">
        <v>44682</v>
      </c>
      <c r="C18" s="129">
        <v>344665149</v>
      </c>
      <c r="D18" s="126">
        <f t="shared" si="0"/>
        <v>-0.54452759909415493</v>
      </c>
      <c r="E18" s="128">
        <v>74.81</v>
      </c>
      <c r="F18" s="126">
        <f t="shared" si="1"/>
        <v>-1.5916863983162277E-2</v>
      </c>
    </row>
    <row r="19" spans="2:6" x14ac:dyDescent="0.3">
      <c r="B19" s="127">
        <v>44713</v>
      </c>
      <c r="C19" s="129">
        <v>341213190</v>
      </c>
      <c r="D19" s="126">
        <f t="shared" si="0"/>
        <v>-1.0015399032990091E-2</v>
      </c>
      <c r="E19" s="128">
        <v>74.599999999999994</v>
      </c>
      <c r="F19" s="126">
        <f t="shared" si="1"/>
        <v>-2.8071113487502242E-3</v>
      </c>
    </row>
    <row r="20" spans="2:6" x14ac:dyDescent="0.3">
      <c r="B20" s="127">
        <v>44743</v>
      </c>
      <c r="C20" s="129">
        <v>539961249</v>
      </c>
      <c r="D20" s="126">
        <f t="shared" si="0"/>
        <v>0.582474724965937</v>
      </c>
      <c r="E20" s="128">
        <v>87.7</v>
      </c>
      <c r="F20" s="126">
        <f t="shared" si="1"/>
        <v>0.17560321715817717</v>
      </c>
    </row>
    <row r="21" spans="2:6" x14ac:dyDescent="0.3">
      <c r="B21" s="127">
        <v>44774</v>
      </c>
      <c r="C21" s="129">
        <v>522627111</v>
      </c>
      <c r="D21" s="126">
        <f t="shared" si="0"/>
        <v>-3.210255927087835E-2</v>
      </c>
      <c r="E21" s="128">
        <v>97.67</v>
      </c>
      <c r="F21" s="126">
        <f t="shared" si="1"/>
        <v>0.11368301026225769</v>
      </c>
    </row>
    <row r="22" spans="2:6" x14ac:dyDescent="0.3">
      <c r="B22" s="127">
        <v>44805</v>
      </c>
      <c r="C22" s="129">
        <v>611104130</v>
      </c>
      <c r="D22" s="126">
        <f t="shared" si="0"/>
        <v>0.16929282300473703</v>
      </c>
      <c r="E22" s="128">
        <v>97.04</v>
      </c>
      <c r="F22" s="126">
        <f t="shared" si="1"/>
        <v>-6.4502917989146535E-3</v>
      </c>
    </row>
    <row r="23" spans="2:6" x14ac:dyDescent="0.3">
      <c r="B23" s="127">
        <v>44835</v>
      </c>
      <c r="C23" s="129">
        <v>301762899</v>
      </c>
      <c r="D23" s="126">
        <f t="shared" si="0"/>
        <v>-0.50620052428708018</v>
      </c>
      <c r="E23" s="128">
        <v>102.71</v>
      </c>
      <c r="F23" s="126">
        <f t="shared" si="1"/>
        <v>5.8429513602638039E-2</v>
      </c>
    </row>
    <row r="24" spans="2:6" x14ac:dyDescent="0.3">
      <c r="B24" s="127">
        <v>44866</v>
      </c>
      <c r="C24" s="129">
        <v>378818677</v>
      </c>
      <c r="D24" s="126">
        <f t="shared" si="0"/>
        <v>0.25535206036047531</v>
      </c>
      <c r="E24" s="128">
        <v>101.02</v>
      </c>
      <c r="F24" s="126">
        <f t="shared" si="1"/>
        <v>-1.645409405121212E-2</v>
      </c>
    </row>
    <row r="25" spans="2:6" x14ac:dyDescent="0.3">
      <c r="B25" s="127">
        <v>44896</v>
      </c>
      <c r="C25" s="129">
        <v>320360530</v>
      </c>
      <c r="D25" s="126">
        <f t="shared" si="0"/>
        <v>-0.15431696098764425</v>
      </c>
      <c r="E25" s="128">
        <v>96.03</v>
      </c>
      <c r="F25" s="126">
        <f t="shared" si="1"/>
        <v>-4.9396159176400611E-2</v>
      </c>
    </row>
    <row r="26" spans="2:6" x14ac:dyDescent="0.3">
      <c r="B26" s="127">
        <v>44927</v>
      </c>
      <c r="C26" s="129">
        <v>326424758</v>
      </c>
      <c r="D26" s="126">
        <f t="shared" si="0"/>
        <v>1.8929385589417036E-2</v>
      </c>
      <c r="E26" s="128">
        <v>91.27</v>
      </c>
      <c r="F26" s="126">
        <f t="shared" si="1"/>
        <v>-4.9567843382276378E-2</v>
      </c>
    </row>
    <row r="27" spans="2:6" x14ac:dyDescent="0.3">
      <c r="B27" s="127">
        <v>44958</v>
      </c>
      <c r="C27" s="129">
        <v>311950771</v>
      </c>
      <c r="D27" s="126">
        <f t="shared" si="0"/>
        <v>-4.434095957880746E-2</v>
      </c>
      <c r="E27" s="128">
        <v>90.93</v>
      </c>
      <c r="F27" s="126">
        <f t="shared" si="1"/>
        <v>-3.7252109126765243E-3</v>
      </c>
    </row>
    <row r="28" spans="2:6" x14ac:dyDescent="0.3">
      <c r="B28" s="127">
        <v>44986</v>
      </c>
      <c r="C28" s="129">
        <v>308582521</v>
      </c>
      <c r="D28" s="126">
        <f t="shared" si="0"/>
        <v>-1.0797376743781117E-2</v>
      </c>
      <c r="E28" s="128">
        <v>94.36</v>
      </c>
      <c r="F28" s="126">
        <f t="shared" si="1"/>
        <v>3.772132409545792E-2</v>
      </c>
    </row>
    <row r="29" spans="2:6" x14ac:dyDescent="0.3">
      <c r="B29" s="127">
        <v>45017</v>
      </c>
      <c r="C29" s="129">
        <v>189552703</v>
      </c>
      <c r="D29" s="126">
        <f t="shared" si="0"/>
        <v>-0.38573091442207774</v>
      </c>
      <c r="E29" s="128">
        <v>100.58</v>
      </c>
      <c r="F29" s="126">
        <f t="shared" si="1"/>
        <v>6.5917761763458982E-2</v>
      </c>
    </row>
    <row r="30" spans="2:6" x14ac:dyDescent="0.3">
      <c r="B30" s="127">
        <v>45047</v>
      </c>
      <c r="C30" s="129">
        <v>247491462</v>
      </c>
      <c r="D30" s="126">
        <f t="shared" si="0"/>
        <v>0.30566042099647617</v>
      </c>
      <c r="E30" s="128">
        <v>109.19</v>
      </c>
      <c r="F30" s="126">
        <f t="shared" si="1"/>
        <v>8.5603499701729868E-2</v>
      </c>
    </row>
    <row r="31" spans="2:6" x14ac:dyDescent="0.3">
      <c r="B31" s="127">
        <v>45078</v>
      </c>
      <c r="C31" s="129">
        <v>415245029</v>
      </c>
      <c r="D31" s="126">
        <f t="shared" si="0"/>
        <v>0.67781557248225388</v>
      </c>
      <c r="E31" s="128">
        <v>122.43</v>
      </c>
      <c r="F31" s="126">
        <f t="shared" si="1"/>
        <v>0.12125652532283193</v>
      </c>
    </row>
    <row r="32" spans="2:6" x14ac:dyDescent="0.3">
      <c r="B32" s="127">
        <v>45108</v>
      </c>
      <c r="C32" s="129">
        <v>319205289</v>
      </c>
      <c r="D32" s="126">
        <f t="shared" si="0"/>
        <v>-0.231284502625557</v>
      </c>
      <c r="E32" s="128">
        <v>127.25</v>
      </c>
      <c r="F32" s="126">
        <f t="shared" si="1"/>
        <v>3.936943559585071E-2</v>
      </c>
    </row>
    <row r="33" spans="2:6" x14ac:dyDescent="0.3">
      <c r="B33" s="127">
        <v>45139</v>
      </c>
      <c r="C33" s="129">
        <v>297218730</v>
      </c>
      <c r="D33" s="126">
        <f t="shared" si="0"/>
        <v>-6.8879056073535172E-2</v>
      </c>
      <c r="E33" s="128">
        <v>129.69</v>
      </c>
      <c r="F33" s="126">
        <f t="shared" si="1"/>
        <v>1.9174852652259267E-2</v>
      </c>
    </row>
    <row r="34" spans="2:6" x14ac:dyDescent="0.3">
      <c r="B34" s="127">
        <v>45170</v>
      </c>
      <c r="C34" s="129">
        <v>378936484</v>
      </c>
      <c r="D34" s="126">
        <f t="shared" si="0"/>
        <v>0.27494146819078336</v>
      </c>
      <c r="E34" s="128">
        <v>135.27000000000001</v>
      </c>
      <c r="F34" s="126">
        <f t="shared" si="1"/>
        <v>4.3025676613462904E-2</v>
      </c>
    </row>
    <row r="35" spans="2:6" x14ac:dyDescent="0.3">
      <c r="B35" s="127">
        <v>45200</v>
      </c>
      <c r="C35" s="129">
        <v>218706151</v>
      </c>
      <c r="D35" s="126">
        <f t="shared" si="0"/>
        <v>-0.4228421906189429</v>
      </c>
      <c r="E35" s="128">
        <v>130.33000000000001</v>
      </c>
      <c r="F35" s="126">
        <f t="shared" si="1"/>
        <v>-3.6519553485621303E-2</v>
      </c>
    </row>
    <row r="36" spans="2:6" x14ac:dyDescent="0.3">
      <c r="B36" s="127">
        <v>45231</v>
      </c>
      <c r="C36" s="129">
        <v>226563436</v>
      </c>
      <c r="D36" s="126">
        <f t="shared" si="0"/>
        <v>3.5926218645766284E-2</v>
      </c>
      <c r="E36" s="128">
        <v>142.69999999999999</v>
      </c>
      <c r="F36" s="126">
        <f t="shared" si="1"/>
        <v>9.4912913373743413E-2</v>
      </c>
    </row>
    <row r="37" spans="2:6" x14ac:dyDescent="0.3">
      <c r="B37" s="127">
        <v>45261</v>
      </c>
      <c r="C37" s="129">
        <v>561736781</v>
      </c>
      <c r="D37" s="126">
        <f t="shared" si="0"/>
        <v>1.4793796868440854</v>
      </c>
      <c r="E37" s="128">
        <v>180.16</v>
      </c>
      <c r="F37" s="126">
        <f t="shared" si="1"/>
        <v>0.26250875963559928</v>
      </c>
    </row>
    <row r="38" spans="2:6" x14ac:dyDescent="0.3">
      <c r="B38" s="127">
        <v>45292</v>
      </c>
      <c r="C38" s="129">
        <v>390548506</v>
      </c>
      <c r="D38" s="126">
        <f t="shared" si="0"/>
        <v>-0.30474820376770018</v>
      </c>
      <c r="E38" s="128">
        <v>181.83</v>
      </c>
      <c r="F38" s="126">
        <f t="shared" si="1"/>
        <v>9.2695381882772487E-3</v>
      </c>
    </row>
    <row r="39" spans="2:6" x14ac:dyDescent="0.3">
      <c r="B39" s="127">
        <v>45323</v>
      </c>
      <c r="C39" s="129">
        <v>548301343</v>
      </c>
      <c r="D39" s="126">
        <f t="shared" si="0"/>
        <v>0.40392636145431826</v>
      </c>
      <c r="E39" s="128">
        <v>200.61</v>
      </c>
      <c r="F39" s="126">
        <f t="shared" si="1"/>
        <v>0.10328328658637198</v>
      </c>
    </row>
    <row r="40" spans="2:6" x14ac:dyDescent="0.3">
      <c r="B40" s="127">
        <v>45352</v>
      </c>
      <c r="C40" s="129">
        <v>584947675</v>
      </c>
      <c r="D40" s="126">
        <f t="shared" si="0"/>
        <v>6.6836115701434551E-2</v>
      </c>
      <c r="E40" s="128">
        <v>197.84</v>
      </c>
      <c r="F40" s="126">
        <f t="shared" si="1"/>
        <v>-1.3807885947859089E-2</v>
      </c>
    </row>
    <row r="41" spans="2:6" x14ac:dyDescent="0.3">
      <c r="B41" s="127">
        <v>45383</v>
      </c>
      <c r="C41" s="129">
        <v>642123137</v>
      </c>
      <c r="D41" s="126">
        <f t="shared" si="0"/>
        <v>9.7744575187857619E-2</v>
      </c>
      <c r="E41" s="128">
        <v>230.32</v>
      </c>
      <c r="F41" s="126">
        <f t="shared" si="1"/>
        <v>0.16417306914678531</v>
      </c>
    </row>
    <row r="42" spans="2:6" x14ac:dyDescent="0.3">
      <c r="B42" s="127">
        <v>45413</v>
      </c>
      <c r="C42" s="129">
        <v>973649117</v>
      </c>
      <c r="D42" s="126">
        <f t="shared" si="0"/>
        <v>0.51629658066658335</v>
      </c>
      <c r="E42" s="128">
        <v>291.60000000000002</v>
      </c>
      <c r="F42" s="126">
        <f t="shared" si="1"/>
        <v>0.26606460576589108</v>
      </c>
    </row>
    <row r="43" spans="2:6" x14ac:dyDescent="0.3">
      <c r="B43" s="127">
        <v>45444</v>
      </c>
      <c r="C43" s="129">
        <v>1267349891</v>
      </c>
      <c r="D43" s="126">
        <f t="shared" si="0"/>
        <v>0.30164950480820907</v>
      </c>
      <c r="E43" s="128">
        <v>301.41000000000003</v>
      </c>
      <c r="F43" s="126">
        <f t="shared" si="1"/>
        <v>3.364197530864188E-2</v>
      </c>
    </row>
    <row r="44" spans="2:6" x14ac:dyDescent="0.3">
      <c r="B44" s="127">
        <v>45474</v>
      </c>
      <c r="C44" s="129">
        <v>884042573</v>
      </c>
      <c r="D44" s="126">
        <f t="shared" si="0"/>
        <v>-0.30244790386777254</v>
      </c>
      <c r="E44" s="128">
        <v>311.41000000000003</v>
      </c>
      <c r="F44" s="126">
        <f t="shared" si="1"/>
        <v>3.317739955542276E-2</v>
      </c>
    </row>
    <row r="45" spans="2:6" x14ac:dyDescent="0.3">
      <c r="B45" s="127">
        <v>45505</v>
      </c>
      <c r="C45" s="129">
        <v>438951237</v>
      </c>
      <c r="D45" s="126">
        <f t="shared" si="0"/>
        <v>-0.50347273942880577</v>
      </c>
      <c r="E45" s="128">
        <v>294.89999999999998</v>
      </c>
      <c r="F45" s="126">
        <f t="shared" si="1"/>
        <v>-5.3016923027520146E-2</v>
      </c>
    </row>
    <row r="46" spans="2:6" x14ac:dyDescent="0.3">
      <c r="B46" s="127">
        <v>45536</v>
      </c>
      <c r="C46" s="129">
        <v>641589589</v>
      </c>
      <c r="D46" s="126">
        <f t="shared" si="0"/>
        <v>0.46164205706521333</v>
      </c>
      <c r="E46" s="128">
        <v>281.67</v>
      </c>
      <c r="F46" s="126">
        <f t="shared" si="1"/>
        <v>-4.4862665310274497E-2</v>
      </c>
    </row>
    <row r="47" spans="2:6" x14ac:dyDescent="0.3">
      <c r="B47" s="127">
        <v>45566</v>
      </c>
      <c r="C47" s="129">
        <v>423588111</v>
      </c>
      <c r="D47" s="126">
        <f t="shared" si="0"/>
        <v>-0.33978337824930016</v>
      </c>
      <c r="E47" s="128">
        <v>281.48</v>
      </c>
      <c r="F47" s="126">
        <f t="shared" si="1"/>
        <v>-6.7454823019841292E-4</v>
      </c>
    </row>
    <row r="48" spans="2:6" x14ac:dyDescent="0.3">
      <c r="B48" s="127">
        <v>45597</v>
      </c>
      <c r="C48" s="129">
        <v>435754825</v>
      </c>
      <c r="D48" s="126">
        <f t="shared" si="0"/>
        <v>2.8722982737350744E-2</v>
      </c>
      <c r="E48" s="128">
        <v>304.3</v>
      </c>
      <c r="F48" s="126">
        <f t="shared" si="1"/>
        <v>8.1071479323575391E-2</v>
      </c>
    </row>
    <row r="49" spans="2:6" x14ac:dyDescent="0.3">
      <c r="B49" s="127">
        <v>45627</v>
      </c>
      <c r="C49" s="129">
        <v>322789958</v>
      </c>
      <c r="D49" s="126">
        <f t="shared" si="0"/>
        <v>-0.25923950928139461</v>
      </c>
      <c r="E49" s="128">
        <v>289.63</v>
      </c>
      <c r="F49" s="126">
        <f t="shared" si="1"/>
        <v>-4.8209004272099953E-2</v>
      </c>
    </row>
    <row r="50" spans="2:6" x14ac:dyDescent="0.3">
      <c r="B50" s="127">
        <v>45658</v>
      </c>
      <c r="C50" s="129">
        <v>394149190</v>
      </c>
      <c r="D50" s="126">
        <f t="shared" si="0"/>
        <v>0.22107017344077362</v>
      </c>
      <c r="E50" s="128">
        <v>289.13</v>
      </c>
      <c r="F50" s="126">
        <f t="shared" si="1"/>
        <v>-1.7263405034009249E-3</v>
      </c>
    </row>
    <row r="51" spans="2:6" x14ac:dyDescent="0.3">
      <c r="B51" s="127">
        <v>45689</v>
      </c>
      <c r="C51" s="129">
        <v>474498363</v>
      </c>
      <c r="D51" s="126">
        <f t="shared" si="0"/>
        <v>0.20385472059450382</v>
      </c>
      <c r="E51" s="128">
        <v>243.29</v>
      </c>
      <c r="F51" s="126">
        <f t="shared" si="1"/>
        <v>-0.15854459931518694</v>
      </c>
    </row>
    <row r="52" spans="2:6" x14ac:dyDescent="0.3">
      <c r="B52" s="127">
        <v>45717</v>
      </c>
      <c r="C52" s="129">
        <v>434656933</v>
      </c>
      <c r="D52" s="126">
        <f t="shared" si="0"/>
        <v>-8.3965368706656607E-2</v>
      </c>
      <c r="E52" s="128">
        <v>297.7</v>
      </c>
      <c r="F52" s="126">
        <f t="shared" si="1"/>
        <v>0.22364256648444236</v>
      </c>
    </row>
  </sheetData>
  <autoFilter ref="C4:C52" xr:uid="{9409468D-CBDE-40D2-9D74-6C8E6D106EEF}"/>
  <mergeCells count="1">
    <mergeCell ref="D1:O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D6888-3F90-4038-B2F4-8A24B74E80A8}">
  <sheetPr>
    <tabColor theme="9" tint="0.39997558519241921"/>
  </sheetPr>
  <dimension ref="A1:O2714"/>
  <sheetViews>
    <sheetView showGridLines="0" workbookViewId="0">
      <selection activeCell="I11" sqref="I11"/>
    </sheetView>
  </sheetViews>
  <sheetFormatPr defaultRowHeight="14.4" x14ac:dyDescent="0.3"/>
  <cols>
    <col min="1" max="1" width="2.33203125" customWidth="1"/>
    <col min="2" max="2" width="10.33203125" bestFit="1" customWidth="1"/>
    <col min="3" max="3" width="11.21875" bestFit="1" customWidth="1"/>
    <col min="6" max="6" width="9.88671875" bestFit="1" customWidth="1"/>
  </cols>
  <sheetData>
    <row r="1" spans="1:15" s="33" customFormat="1" ht="61.8" customHeight="1" x14ac:dyDescent="1.2">
      <c r="A1" s="35"/>
      <c r="B1" s="35"/>
      <c r="C1" s="35"/>
      <c r="D1" s="334" t="s">
        <v>93</v>
      </c>
      <c r="E1" s="334"/>
      <c r="F1" s="334"/>
      <c r="G1" s="334"/>
      <c r="H1" s="334"/>
      <c r="I1" s="334"/>
      <c r="J1" s="334"/>
      <c r="K1" s="334"/>
      <c r="L1" s="334"/>
      <c r="M1" s="334"/>
      <c r="N1" s="334"/>
      <c r="O1" s="334"/>
    </row>
    <row r="2" spans="1:15" x14ac:dyDescent="0.3">
      <c r="B2" s="350" t="s">
        <v>255</v>
      </c>
      <c r="C2" s="350"/>
      <c r="D2" s="350"/>
    </row>
    <row r="4" spans="1:15" x14ac:dyDescent="0.3">
      <c r="B4" s="125"/>
      <c r="C4" s="125" t="s">
        <v>249</v>
      </c>
    </row>
    <row r="5" spans="1:15" x14ac:dyDescent="0.3">
      <c r="B5" s="125" t="s">
        <v>247</v>
      </c>
      <c r="C5" s="125" t="s">
        <v>252</v>
      </c>
    </row>
    <row r="6" spans="1:15" x14ac:dyDescent="0.3">
      <c r="B6" s="134">
        <v>42072</v>
      </c>
      <c r="C6" s="135">
        <v>8756.75</v>
      </c>
      <c r="E6" s="130" t="s">
        <v>256</v>
      </c>
      <c r="F6" s="131">
        <f>YEARFRAC(B6,B2714)</f>
        <v>10.991666666666667</v>
      </c>
    </row>
    <row r="7" spans="1:15" x14ac:dyDescent="0.3">
      <c r="B7" s="134">
        <v>42073</v>
      </c>
      <c r="C7" s="135">
        <v>8712.0499999999993</v>
      </c>
      <c r="E7" s="130"/>
      <c r="F7" s="132"/>
    </row>
    <row r="8" spans="1:15" x14ac:dyDescent="0.3">
      <c r="B8" s="134">
        <v>42074</v>
      </c>
      <c r="C8" s="135">
        <v>8699.9500000000007</v>
      </c>
      <c r="E8" s="130" t="s">
        <v>257</v>
      </c>
      <c r="F8" s="133">
        <f>_xlfn.RRI(F6,C6,C2714)</f>
        <v>9.7920996923958059E-2</v>
      </c>
    </row>
    <row r="9" spans="1:15" x14ac:dyDescent="0.3">
      <c r="B9" s="134">
        <v>42075</v>
      </c>
      <c r="C9" s="135">
        <v>8776</v>
      </c>
    </row>
    <row r="10" spans="1:15" x14ac:dyDescent="0.3">
      <c r="B10" s="134">
        <v>42076</v>
      </c>
      <c r="C10" s="135">
        <v>8647.75</v>
      </c>
    </row>
    <row r="11" spans="1:15" x14ac:dyDescent="0.3">
      <c r="B11" s="134">
        <v>42079</v>
      </c>
      <c r="C11" s="135">
        <v>8633.15</v>
      </c>
    </row>
    <row r="12" spans="1:15" x14ac:dyDescent="0.3">
      <c r="B12" s="134">
        <v>42080</v>
      </c>
      <c r="C12" s="135">
        <v>8723.2999999999993</v>
      </c>
    </row>
    <row r="13" spans="1:15" x14ac:dyDescent="0.3">
      <c r="B13" s="134">
        <v>42081</v>
      </c>
      <c r="C13" s="135">
        <v>8685.9</v>
      </c>
    </row>
    <row r="14" spans="1:15" x14ac:dyDescent="0.3">
      <c r="B14" s="134">
        <v>42082</v>
      </c>
      <c r="C14" s="135">
        <v>8634.65</v>
      </c>
    </row>
    <row r="15" spans="1:15" x14ac:dyDescent="0.3">
      <c r="B15" s="134">
        <v>42083</v>
      </c>
      <c r="C15" s="135">
        <v>8570.9</v>
      </c>
    </row>
    <row r="16" spans="1:15" x14ac:dyDescent="0.3">
      <c r="B16" s="134">
        <v>42086</v>
      </c>
      <c r="C16" s="135">
        <v>8550.9</v>
      </c>
    </row>
    <row r="17" spans="2:3" x14ac:dyDescent="0.3">
      <c r="B17" s="134">
        <v>42087</v>
      </c>
      <c r="C17" s="135">
        <v>8542.9500000000007</v>
      </c>
    </row>
    <row r="18" spans="2:3" x14ac:dyDescent="0.3">
      <c r="B18" s="134">
        <v>42088</v>
      </c>
      <c r="C18" s="135">
        <v>8530.7999999999993</v>
      </c>
    </row>
    <row r="19" spans="2:3" x14ac:dyDescent="0.3">
      <c r="B19" s="134">
        <v>42089</v>
      </c>
      <c r="C19" s="135">
        <v>8342.15</v>
      </c>
    </row>
    <row r="20" spans="2:3" x14ac:dyDescent="0.3">
      <c r="B20" s="134">
        <v>42090</v>
      </c>
      <c r="C20" s="135">
        <v>8341.4</v>
      </c>
    </row>
    <row r="21" spans="2:3" x14ac:dyDescent="0.3">
      <c r="B21" s="134">
        <v>42093</v>
      </c>
      <c r="C21" s="135">
        <v>8492.2999999999993</v>
      </c>
    </row>
    <row r="22" spans="2:3" x14ac:dyDescent="0.3">
      <c r="B22" s="134">
        <v>42094</v>
      </c>
      <c r="C22" s="135">
        <v>8491</v>
      </c>
    </row>
    <row r="23" spans="2:3" x14ac:dyDescent="0.3">
      <c r="B23" s="134">
        <v>42095</v>
      </c>
      <c r="C23" s="135">
        <v>8586.25</v>
      </c>
    </row>
    <row r="24" spans="2:3" x14ac:dyDescent="0.3">
      <c r="B24" s="134">
        <v>42100</v>
      </c>
      <c r="C24" s="135">
        <v>8659.9</v>
      </c>
    </row>
    <row r="25" spans="2:3" x14ac:dyDescent="0.3">
      <c r="B25" s="134">
        <v>42101</v>
      </c>
      <c r="C25" s="135">
        <v>8660.2999999999993</v>
      </c>
    </row>
    <row r="26" spans="2:3" x14ac:dyDescent="0.3">
      <c r="B26" s="134">
        <v>42102</v>
      </c>
      <c r="C26" s="135">
        <v>8714.4</v>
      </c>
    </row>
    <row r="27" spans="2:3" x14ac:dyDescent="0.3">
      <c r="B27" s="134">
        <v>42103</v>
      </c>
      <c r="C27" s="135">
        <v>8778.2999999999993</v>
      </c>
    </row>
    <row r="28" spans="2:3" x14ac:dyDescent="0.3">
      <c r="B28" s="134">
        <v>42104</v>
      </c>
      <c r="C28" s="135">
        <v>8780.35</v>
      </c>
    </row>
    <row r="29" spans="2:3" x14ac:dyDescent="0.3">
      <c r="B29" s="134">
        <v>42107</v>
      </c>
      <c r="C29" s="135">
        <v>8834</v>
      </c>
    </row>
    <row r="30" spans="2:3" x14ac:dyDescent="0.3">
      <c r="B30" s="134">
        <v>42110</v>
      </c>
      <c r="C30" s="135">
        <v>8706.7000000000007</v>
      </c>
    </row>
    <row r="31" spans="2:3" x14ac:dyDescent="0.3">
      <c r="B31" s="134">
        <v>42111</v>
      </c>
      <c r="C31" s="135">
        <v>8606</v>
      </c>
    </row>
    <row r="32" spans="2:3" x14ac:dyDescent="0.3">
      <c r="B32" s="134">
        <v>42114</v>
      </c>
      <c r="C32" s="135">
        <v>8448.1</v>
      </c>
    </row>
    <row r="33" spans="2:3" x14ac:dyDescent="0.3">
      <c r="B33" s="134">
        <v>42115</v>
      </c>
      <c r="C33" s="135">
        <v>8377.75</v>
      </c>
    </row>
    <row r="34" spans="2:3" x14ac:dyDescent="0.3">
      <c r="B34" s="134">
        <v>42116</v>
      </c>
      <c r="C34" s="135">
        <v>8429.7000000000007</v>
      </c>
    </row>
    <row r="35" spans="2:3" x14ac:dyDescent="0.3">
      <c r="B35" s="134">
        <v>42117</v>
      </c>
      <c r="C35" s="135">
        <v>8398.2999999999993</v>
      </c>
    </row>
    <row r="36" spans="2:3" x14ac:dyDescent="0.3">
      <c r="B36" s="134">
        <v>42118</v>
      </c>
      <c r="C36" s="135">
        <v>8305.25</v>
      </c>
    </row>
    <row r="37" spans="2:3" x14ac:dyDescent="0.3">
      <c r="B37" s="134">
        <v>42121</v>
      </c>
      <c r="C37" s="135">
        <v>8213.7999999999993</v>
      </c>
    </row>
    <row r="38" spans="2:3" x14ac:dyDescent="0.3">
      <c r="B38" s="134">
        <v>42122</v>
      </c>
      <c r="C38" s="135">
        <v>8285.6</v>
      </c>
    </row>
    <row r="39" spans="2:3" x14ac:dyDescent="0.3">
      <c r="B39" s="134">
        <v>42123</v>
      </c>
      <c r="C39" s="135">
        <v>8239.75</v>
      </c>
    </row>
    <row r="40" spans="2:3" x14ac:dyDescent="0.3">
      <c r="B40" s="134">
        <v>42124</v>
      </c>
      <c r="C40" s="135">
        <v>8181.5</v>
      </c>
    </row>
    <row r="41" spans="2:3" x14ac:dyDescent="0.3">
      <c r="B41" s="134">
        <v>42128</v>
      </c>
      <c r="C41" s="135">
        <v>8331.9500000000007</v>
      </c>
    </row>
    <row r="42" spans="2:3" x14ac:dyDescent="0.3">
      <c r="B42" s="134">
        <v>42129</v>
      </c>
      <c r="C42" s="135">
        <v>8324.7999999999993</v>
      </c>
    </row>
    <row r="43" spans="2:3" x14ac:dyDescent="0.3">
      <c r="B43" s="134">
        <v>42130</v>
      </c>
      <c r="C43" s="135">
        <v>8097</v>
      </c>
    </row>
    <row r="44" spans="2:3" x14ac:dyDescent="0.3">
      <c r="B44" s="134">
        <v>42131</v>
      </c>
      <c r="C44" s="135">
        <v>8057.3</v>
      </c>
    </row>
    <row r="45" spans="2:3" x14ac:dyDescent="0.3">
      <c r="B45" s="134">
        <v>42132</v>
      </c>
      <c r="C45" s="135">
        <v>8191.5</v>
      </c>
    </row>
    <row r="46" spans="2:3" x14ac:dyDescent="0.3">
      <c r="B46" s="134">
        <v>42135</v>
      </c>
      <c r="C46" s="135">
        <v>8325.25</v>
      </c>
    </row>
    <row r="47" spans="2:3" x14ac:dyDescent="0.3">
      <c r="B47" s="134">
        <v>42136</v>
      </c>
      <c r="C47" s="135">
        <v>8126.95</v>
      </c>
    </row>
    <row r="48" spans="2:3" x14ac:dyDescent="0.3">
      <c r="B48" s="134">
        <v>42137</v>
      </c>
      <c r="C48" s="135">
        <v>8235.4500000000007</v>
      </c>
    </row>
    <row r="49" spans="2:3" x14ac:dyDescent="0.3">
      <c r="B49" s="134">
        <v>42138</v>
      </c>
      <c r="C49" s="135">
        <v>8224.2000000000007</v>
      </c>
    </row>
    <row r="50" spans="2:3" x14ac:dyDescent="0.3">
      <c r="B50" s="134">
        <v>42139</v>
      </c>
      <c r="C50" s="135">
        <v>8262.35</v>
      </c>
    </row>
    <row r="51" spans="2:3" x14ac:dyDescent="0.3">
      <c r="B51" s="134">
        <v>42142</v>
      </c>
      <c r="C51" s="135">
        <v>8373.65</v>
      </c>
    </row>
    <row r="52" spans="2:3" x14ac:dyDescent="0.3">
      <c r="B52" s="134">
        <v>42143</v>
      </c>
      <c r="C52" s="135">
        <v>8365.65</v>
      </c>
    </row>
    <row r="53" spans="2:3" x14ac:dyDescent="0.3">
      <c r="B53" s="134">
        <v>42144</v>
      </c>
      <c r="C53" s="135">
        <v>8423.25</v>
      </c>
    </row>
    <row r="54" spans="2:3" x14ac:dyDescent="0.3">
      <c r="B54" s="134">
        <v>42145</v>
      </c>
      <c r="C54" s="135">
        <v>8421</v>
      </c>
    </row>
    <row r="55" spans="2:3" x14ac:dyDescent="0.3">
      <c r="B55" s="134">
        <v>42146</v>
      </c>
      <c r="C55" s="135">
        <v>8458.9500000000007</v>
      </c>
    </row>
    <row r="56" spans="2:3" x14ac:dyDescent="0.3">
      <c r="B56" s="134">
        <v>42149</v>
      </c>
      <c r="C56" s="135">
        <v>8370.25</v>
      </c>
    </row>
    <row r="57" spans="2:3" x14ac:dyDescent="0.3">
      <c r="B57" s="134">
        <v>42150</v>
      </c>
      <c r="C57" s="135">
        <v>8339.35</v>
      </c>
    </row>
    <row r="58" spans="2:3" x14ac:dyDescent="0.3">
      <c r="B58" s="134">
        <v>42151</v>
      </c>
      <c r="C58" s="135">
        <v>8334.6</v>
      </c>
    </row>
    <row r="59" spans="2:3" x14ac:dyDescent="0.3">
      <c r="B59" s="134">
        <v>42152</v>
      </c>
      <c r="C59" s="135">
        <v>8319</v>
      </c>
    </row>
    <row r="60" spans="2:3" x14ac:dyDescent="0.3">
      <c r="B60" s="134">
        <v>42153</v>
      </c>
      <c r="C60" s="135">
        <v>8433.65</v>
      </c>
    </row>
    <row r="61" spans="2:3" x14ac:dyDescent="0.3">
      <c r="B61" s="134">
        <v>42156</v>
      </c>
      <c r="C61" s="135">
        <v>8433.4</v>
      </c>
    </row>
    <row r="62" spans="2:3" x14ac:dyDescent="0.3">
      <c r="B62" s="134">
        <v>42157</v>
      </c>
      <c r="C62" s="135">
        <v>8236.4500000000007</v>
      </c>
    </row>
    <row r="63" spans="2:3" x14ac:dyDescent="0.3">
      <c r="B63" s="134">
        <v>42158</v>
      </c>
      <c r="C63" s="135">
        <v>8135.1</v>
      </c>
    </row>
    <row r="64" spans="2:3" x14ac:dyDescent="0.3">
      <c r="B64" s="134">
        <v>42159</v>
      </c>
      <c r="C64" s="135">
        <v>8130.65</v>
      </c>
    </row>
    <row r="65" spans="2:3" x14ac:dyDescent="0.3">
      <c r="B65" s="134">
        <v>42160</v>
      </c>
      <c r="C65" s="135">
        <v>8114.7</v>
      </c>
    </row>
    <row r="66" spans="2:3" x14ac:dyDescent="0.3">
      <c r="B66" s="134">
        <v>42163</v>
      </c>
      <c r="C66" s="135">
        <v>8044.15</v>
      </c>
    </row>
    <row r="67" spans="2:3" x14ac:dyDescent="0.3">
      <c r="B67" s="134">
        <v>42164</v>
      </c>
      <c r="C67" s="135">
        <v>8022.4</v>
      </c>
    </row>
    <row r="68" spans="2:3" x14ac:dyDescent="0.3">
      <c r="B68" s="134">
        <v>42165</v>
      </c>
      <c r="C68" s="135">
        <v>8124.45</v>
      </c>
    </row>
    <row r="69" spans="2:3" x14ac:dyDescent="0.3">
      <c r="B69" s="134">
        <v>42166</v>
      </c>
      <c r="C69" s="135">
        <v>7965.35</v>
      </c>
    </row>
    <row r="70" spans="2:3" x14ac:dyDescent="0.3">
      <c r="B70" s="134">
        <v>42167</v>
      </c>
      <c r="C70" s="135">
        <v>7982.9</v>
      </c>
    </row>
    <row r="71" spans="2:3" x14ac:dyDescent="0.3">
      <c r="B71" s="134">
        <v>42170</v>
      </c>
      <c r="C71" s="135">
        <v>8013.9</v>
      </c>
    </row>
    <row r="72" spans="2:3" x14ac:dyDescent="0.3">
      <c r="B72" s="134">
        <v>42171</v>
      </c>
      <c r="C72" s="135">
        <v>8047.3</v>
      </c>
    </row>
    <row r="73" spans="2:3" x14ac:dyDescent="0.3">
      <c r="B73" s="134">
        <v>42172</v>
      </c>
      <c r="C73" s="135">
        <v>8091.55</v>
      </c>
    </row>
    <row r="74" spans="2:3" x14ac:dyDescent="0.3">
      <c r="B74" s="134">
        <v>42173</v>
      </c>
      <c r="C74" s="135">
        <v>8174.6</v>
      </c>
    </row>
    <row r="75" spans="2:3" x14ac:dyDescent="0.3">
      <c r="B75" s="134">
        <v>42174</v>
      </c>
      <c r="C75" s="135">
        <v>8224.9500000000007</v>
      </c>
    </row>
    <row r="76" spans="2:3" x14ac:dyDescent="0.3">
      <c r="B76" s="134">
        <v>42177</v>
      </c>
      <c r="C76" s="135">
        <v>8353.1</v>
      </c>
    </row>
    <row r="77" spans="2:3" x14ac:dyDescent="0.3">
      <c r="B77" s="134">
        <v>42178</v>
      </c>
      <c r="C77" s="135">
        <v>8381.5499999999993</v>
      </c>
    </row>
    <row r="78" spans="2:3" x14ac:dyDescent="0.3">
      <c r="B78" s="134">
        <v>42179</v>
      </c>
      <c r="C78" s="135">
        <v>8360.85</v>
      </c>
    </row>
    <row r="79" spans="2:3" x14ac:dyDescent="0.3">
      <c r="B79" s="134">
        <v>42180</v>
      </c>
      <c r="C79" s="135">
        <v>8398</v>
      </c>
    </row>
    <row r="80" spans="2:3" x14ac:dyDescent="0.3">
      <c r="B80" s="134">
        <v>42181</v>
      </c>
      <c r="C80" s="135">
        <v>8381.1</v>
      </c>
    </row>
    <row r="81" spans="2:3" x14ac:dyDescent="0.3">
      <c r="B81" s="134">
        <v>42184</v>
      </c>
      <c r="C81" s="135">
        <v>8318.4</v>
      </c>
    </row>
    <row r="82" spans="2:3" x14ac:dyDescent="0.3">
      <c r="B82" s="134">
        <v>42185</v>
      </c>
      <c r="C82" s="135">
        <v>8368.5</v>
      </c>
    </row>
    <row r="83" spans="2:3" x14ac:dyDescent="0.3">
      <c r="B83" s="134">
        <v>42186</v>
      </c>
      <c r="C83" s="135">
        <v>8453.0499999999993</v>
      </c>
    </row>
    <row r="84" spans="2:3" x14ac:dyDescent="0.3">
      <c r="B84" s="134">
        <v>42187</v>
      </c>
      <c r="C84" s="135">
        <v>8444.9</v>
      </c>
    </row>
    <row r="85" spans="2:3" x14ac:dyDescent="0.3">
      <c r="B85" s="134">
        <v>42188</v>
      </c>
      <c r="C85" s="135">
        <v>8484.9</v>
      </c>
    </row>
    <row r="86" spans="2:3" x14ac:dyDescent="0.3">
      <c r="B86" s="134">
        <v>42191</v>
      </c>
      <c r="C86" s="135">
        <v>8522.15</v>
      </c>
    </row>
    <row r="87" spans="2:3" x14ac:dyDescent="0.3">
      <c r="B87" s="134">
        <v>42192</v>
      </c>
      <c r="C87" s="135">
        <v>8510.7999999999993</v>
      </c>
    </row>
    <row r="88" spans="2:3" x14ac:dyDescent="0.3">
      <c r="B88" s="134">
        <v>42193</v>
      </c>
      <c r="C88" s="135">
        <v>8363.0499999999993</v>
      </c>
    </row>
    <row r="89" spans="2:3" x14ac:dyDescent="0.3">
      <c r="B89" s="134">
        <v>42194</v>
      </c>
      <c r="C89" s="135">
        <v>8328.5499999999993</v>
      </c>
    </row>
    <row r="90" spans="2:3" x14ac:dyDescent="0.3">
      <c r="B90" s="134">
        <v>42195</v>
      </c>
      <c r="C90" s="135">
        <v>8360.5499999999993</v>
      </c>
    </row>
    <row r="91" spans="2:3" x14ac:dyDescent="0.3">
      <c r="B91" s="134">
        <v>42198</v>
      </c>
      <c r="C91" s="135">
        <v>8459.65</v>
      </c>
    </row>
    <row r="92" spans="2:3" x14ac:dyDescent="0.3">
      <c r="B92" s="134">
        <v>42199</v>
      </c>
      <c r="C92" s="135">
        <v>8454.1</v>
      </c>
    </row>
    <row r="93" spans="2:3" x14ac:dyDescent="0.3">
      <c r="B93" s="134">
        <v>42200</v>
      </c>
      <c r="C93" s="135">
        <v>8523.7999999999993</v>
      </c>
    </row>
    <row r="94" spans="2:3" x14ac:dyDescent="0.3">
      <c r="B94" s="134">
        <v>42201</v>
      </c>
      <c r="C94" s="135">
        <v>8608.0499999999993</v>
      </c>
    </row>
    <row r="95" spans="2:3" x14ac:dyDescent="0.3">
      <c r="B95" s="134">
        <v>42202</v>
      </c>
      <c r="C95" s="135">
        <v>8609.85</v>
      </c>
    </row>
    <row r="96" spans="2:3" x14ac:dyDescent="0.3">
      <c r="B96" s="134">
        <v>42205</v>
      </c>
      <c r="C96" s="135">
        <v>8603.4500000000007</v>
      </c>
    </row>
    <row r="97" spans="2:3" x14ac:dyDescent="0.3">
      <c r="B97" s="134">
        <v>42206</v>
      </c>
      <c r="C97" s="135">
        <v>8529.4500000000007</v>
      </c>
    </row>
    <row r="98" spans="2:3" x14ac:dyDescent="0.3">
      <c r="B98" s="134">
        <v>42207</v>
      </c>
      <c r="C98" s="135">
        <v>8633.5</v>
      </c>
    </row>
    <row r="99" spans="2:3" x14ac:dyDescent="0.3">
      <c r="B99" s="134">
        <v>42208</v>
      </c>
      <c r="C99" s="135">
        <v>8589.7999999999993</v>
      </c>
    </row>
    <row r="100" spans="2:3" x14ac:dyDescent="0.3">
      <c r="B100" s="134">
        <v>42209</v>
      </c>
      <c r="C100" s="135">
        <v>8521.5499999999993</v>
      </c>
    </row>
    <row r="101" spans="2:3" x14ac:dyDescent="0.3">
      <c r="B101" s="134">
        <v>42212</v>
      </c>
      <c r="C101" s="135">
        <v>8361</v>
      </c>
    </row>
    <row r="102" spans="2:3" x14ac:dyDescent="0.3">
      <c r="B102" s="134">
        <v>42213</v>
      </c>
      <c r="C102" s="135">
        <v>8337</v>
      </c>
    </row>
    <row r="103" spans="2:3" x14ac:dyDescent="0.3">
      <c r="B103" s="134">
        <v>42214</v>
      </c>
      <c r="C103" s="135">
        <v>8375.0499999999993</v>
      </c>
    </row>
    <row r="104" spans="2:3" x14ac:dyDescent="0.3">
      <c r="B104" s="134">
        <v>42215</v>
      </c>
      <c r="C104" s="135">
        <v>8421.7999999999993</v>
      </c>
    </row>
    <row r="105" spans="2:3" x14ac:dyDescent="0.3">
      <c r="B105" s="134">
        <v>42216</v>
      </c>
      <c r="C105" s="135">
        <v>8532.85</v>
      </c>
    </row>
    <row r="106" spans="2:3" x14ac:dyDescent="0.3">
      <c r="B106" s="134">
        <v>42219</v>
      </c>
      <c r="C106" s="135">
        <v>8543.0499999999993</v>
      </c>
    </row>
    <row r="107" spans="2:3" x14ac:dyDescent="0.3">
      <c r="B107" s="134">
        <v>42220</v>
      </c>
      <c r="C107" s="135">
        <v>8516.9</v>
      </c>
    </row>
    <row r="108" spans="2:3" x14ac:dyDescent="0.3">
      <c r="B108" s="134">
        <v>42221</v>
      </c>
      <c r="C108" s="135">
        <v>8567.9500000000007</v>
      </c>
    </row>
    <row r="109" spans="2:3" x14ac:dyDescent="0.3">
      <c r="B109" s="134">
        <v>42222</v>
      </c>
      <c r="C109" s="135">
        <v>8588.65</v>
      </c>
    </row>
    <row r="110" spans="2:3" x14ac:dyDescent="0.3">
      <c r="B110" s="134">
        <v>42223</v>
      </c>
      <c r="C110" s="135">
        <v>8564.6</v>
      </c>
    </row>
    <row r="111" spans="2:3" x14ac:dyDescent="0.3">
      <c r="B111" s="134">
        <v>42226</v>
      </c>
      <c r="C111" s="135">
        <v>8525.6</v>
      </c>
    </row>
    <row r="112" spans="2:3" x14ac:dyDescent="0.3">
      <c r="B112" s="134">
        <v>42227</v>
      </c>
      <c r="C112" s="135">
        <v>8462.35</v>
      </c>
    </row>
    <row r="113" spans="2:3" x14ac:dyDescent="0.3">
      <c r="B113" s="134">
        <v>42228</v>
      </c>
      <c r="C113" s="135">
        <v>8349.4500000000007</v>
      </c>
    </row>
    <row r="114" spans="2:3" x14ac:dyDescent="0.3">
      <c r="B114" s="134">
        <v>42229</v>
      </c>
      <c r="C114" s="135">
        <v>8355.85</v>
      </c>
    </row>
    <row r="115" spans="2:3" x14ac:dyDescent="0.3">
      <c r="B115" s="134">
        <v>42230</v>
      </c>
      <c r="C115" s="135">
        <v>8518.5499999999993</v>
      </c>
    </row>
    <row r="116" spans="2:3" x14ac:dyDescent="0.3">
      <c r="B116" s="134">
        <v>42233</v>
      </c>
      <c r="C116" s="135">
        <v>8477.2999999999993</v>
      </c>
    </row>
    <row r="117" spans="2:3" x14ac:dyDescent="0.3">
      <c r="B117" s="134">
        <v>42234</v>
      </c>
      <c r="C117" s="135">
        <v>8466.5499999999993</v>
      </c>
    </row>
    <row r="118" spans="2:3" x14ac:dyDescent="0.3">
      <c r="B118" s="134">
        <v>42235</v>
      </c>
      <c r="C118" s="135">
        <v>8495.15</v>
      </c>
    </row>
    <row r="119" spans="2:3" x14ac:dyDescent="0.3">
      <c r="B119" s="134">
        <v>42236</v>
      </c>
      <c r="C119" s="135">
        <v>8372.75</v>
      </c>
    </row>
    <row r="120" spans="2:3" x14ac:dyDescent="0.3">
      <c r="B120" s="134">
        <v>42237</v>
      </c>
      <c r="C120" s="135">
        <v>8299.9500000000007</v>
      </c>
    </row>
    <row r="121" spans="2:3" x14ac:dyDescent="0.3">
      <c r="B121" s="134">
        <v>42240</v>
      </c>
      <c r="C121" s="135">
        <v>7809</v>
      </c>
    </row>
    <row r="122" spans="2:3" x14ac:dyDescent="0.3">
      <c r="B122" s="134">
        <v>42241</v>
      </c>
      <c r="C122" s="135">
        <v>7880.7</v>
      </c>
    </row>
    <row r="123" spans="2:3" x14ac:dyDescent="0.3">
      <c r="B123" s="134">
        <v>42242</v>
      </c>
      <c r="C123" s="135">
        <v>7791.85</v>
      </c>
    </row>
    <row r="124" spans="2:3" x14ac:dyDescent="0.3">
      <c r="B124" s="134">
        <v>42243</v>
      </c>
      <c r="C124" s="135">
        <v>7948.95</v>
      </c>
    </row>
    <row r="125" spans="2:3" x14ac:dyDescent="0.3">
      <c r="B125" s="134">
        <v>42244</v>
      </c>
      <c r="C125" s="135">
        <v>8001.95</v>
      </c>
    </row>
    <row r="126" spans="2:3" x14ac:dyDescent="0.3">
      <c r="B126" s="134">
        <v>42247</v>
      </c>
      <c r="C126" s="135">
        <v>7971.3</v>
      </c>
    </row>
    <row r="127" spans="2:3" x14ac:dyDescent="0.3">
      <c r="B127" s="134">
        <v>42248</v>
      </c>
      <c r="C127" s="135">
        <v>7785.85</v>
      </c>
    </row>
    <row r="128" spans="2:3" x14ac:dyDescent="0.3">
      <c r="B128" s="134">
        <v>42249</v>
      </c>
      <c r="C128" s="135">
        <v>7717</v>
      </c>
    </row>
    <row r="129" spans="2:3" x14ac:dyDescent="0.3">
      <c r="B129" s="134">
        <v>42250</v>
      </c>
      <c r="C129" s="135">
        <v>7823</v>
      </c>
    </row>
    <row r="130" spans="2:3" x14ac:dyDescent="0.3">
      <c r="B130" s="134">
        <v>42251</v>
      </c>
      <c r="C130" s="135">
        <v>7655.05</v>
      </c>
    </row>
    <row r="131" spans="2:3" x14ac:dyDescent="0.3">
      <c r="B131" s="134">
        <v>42254</v>
      </c>
      <c r="C131" s="135">
        <v>7558.8</v>
      </c>
    </row>
    <row r="132" spans="2:3" x14ac:dyDescent="0.3">
      <c r="B132" s="134">
        <v>42255</v>
      </c>
      <c r="C132" s="135">
        <v>7688.25</v>
      </c>
    </row>
    <row r="133" spans="2:3" x14ac:dyDescent="0.3">
      <c r="B133" s="134">
        <v>42256</v>
      </c>
      <c r="C133" s="135">
        <v>7818.6</v>
      </c>
    </row>
    <row r="134" spans="2:3" x14ac:dyDescent="0.3">
      <c r="B134" s="134">
        <v>42257</v>
      </c>
      <c r="C134" s="135">
        <v>7788.1</v>
      </c>
    </row>
    <row r="135" spans="2:3" x14ac:dyDescent="0.3">
      <c r="B135" s="134">
        <v>42258</v>
      </c>
      <c r="C135" s="135">
        <v>7789.3</v>
      </c>
    </row>
    <row r="136" spans="2:3" x14ac:dyDescent="0.3">
      <c r="B136" s="134">
        <v>42261</v>
      </c>
      <c r="C136" s="135">
        <v>7872.25</v>
      </c>
    </row>
    <row r="137" spans="2:3" x14ac:dyDescent="0.3">
      <c r="B137" s="134">
        <v>42262</v>
      </c>
      <c r="C137" s="135">
        <v>7829.1</v>
      </c>
    </row>
    <row r="138" spans="2:3" x14ac:dyDescent="0.3">
      <c r="B138" s="134">
        <v>42263</v>
      </c>
      <c r="C138" s="135">
        <v>7899.15</v>
      </c>
    </row>
    <row r="139" spans="2:3" x14ac:dyDescent="0.3">
      <c r="B139" s="134">
        <v>42265</v>
      </c>
      <c r="C139" s="135">
        <v>7981.9</v>
      </c>
    </row>
    <row r="140" spans="2:3" x14ac:dyDescent="0.3">
      <c r="B140" s="134">
        <v>42268</v>
      </c>
      <c r="C140" s="135">
        <v>7977.1</v>
      </c>
    </row>
    <row r="141" spans="2:3" x14ac:dyDescent="0.3">
      <c r="B141" s="134">
        <v>42269</v>
      </c>
      <c r="C141" s="135">
        <v>7812</v>
      </c>
    </row>
    <row r="142" spans="2:3" x14ac:dyDescent="0.3">
      <c r="B142" s="134">
        <v>42270</v>
      </c>
      <c r="C142" s="135">
        <v>7845.95</v>
      </c>
    </row>
    <row r="143" spans="2:3" x14ac:dyDescent="0.3">
      <c r="B143" s="134">
        <v>42271</v>
      </c>
      <c r="C143" s="135">
        <v>7868.5</v>
      </c>
    </row>
    <row r="144" spans="2:3" x14ac:dyDescent="0.3">
      <c r="B144" s="134">
        <v>42275</v>
      </c>
      <c r="C144" s="135">
        <v>7795.7</v>
      </c>
    </row>
    <row r="145" spans="2:3" x14ac:dyDescent="0.3">
      <c r="B145" s="134">
        <v>42276</v>
      </c>
      <c r="C145" s="135">
        <v>7843.3</v>
      </c>
    </row>
    <row r="146" spans="2:3" x14ac:dyDescent="0.3">
      <c r="B146" s="134">
        <v>42277</v>
      </c>
      <c r="C146" s="135">
        <v>7948.9</v>
      </c>
    </row>
    <row r="147" spans="2:3" x14ac:dyDescent="0.3">
      <c r="B147" s="134">
        <v>42278</v>
      </c>
      <c r="C147" s="135">
        <v>7950.9</v>
      </c>
    </row>
    <row r="148" spans="2:3" x14ac:dyDescent="0.3">
      <c r="B148" s="134">
        <v>42282</v>
      </c>
      <c r="C148" s="135">
        <v>8119.3</v>
      </c>
    </row>
    <row r="149" spans="2:3" x14ac:dyDescent="0.3">
      <c r="B149" s="134">
        <v>42283</v>
      </c>
      <c r="C149" s="135">
        <v>8152.9</v>
      </c>
    </row>
    <row r="150" spans="2:3" x14ac:dyDescent="0.3">
      <c r="B150" s="134">
        <v>42284</v>
      </c>
      <c r="C150" s="135">
        <v>8177.4</v>
      </c>
    </row>
    <row r="151" spans="2:3" x14ac:dyDescent="0.3">
      <c r="B151" s="134">
        <v>42285</v>
      </c>
      <c r="C151" s="135">
        <v>8129.35</v>
      </c>
    </row>
    <row r="152" spans="2:3" x14ac:dyDescent="0.3">
      <c r="B152" s="134">
        <v>42286</v>
      </c>
      <c r="C152" s="135">
        <v>8189.7</v>
      </c>
    </row>
    <row r="153" spans="2:3" x14ac:dyDescent="0.3">
      <c r="B153" s="134">
        <v>42289</v>
      </c>
      <c r="C153" s="135">
        <v>8143.6</v>
      </c>
    </row>
    <row r="154" spans="2:3" x14ac:dyDescent="0.3">
      <c r="B154" s="134">
        <v>42290</v>
      </c>
      <c r="C154" s="135">
        <v>8131.7</v>
      </c>
    </row>
    <row r="155" spans="2:3" x14ac:dyDescent="0.3">
      <c r="B155" s="134">
        <v>42291</v>
      </c>
      <c r="C155" s="135">
        <v>8107.9</v>
      </c>
    </row>
    <row r="156" spans="2:3" x14ac:dyDescent="0.3">
      <c r="B156" s="134">
        <v>42292</v>
      </c>
      <c r="C156" s="135">
        <v>8179.5</v>
      </c>
    </row>
    <row r="157" spans="2:3" x14ac:dyDescent="0.3">
      <c r="B157" s="134">
        <v>42293</v>
      </c>
      <c r="C157" s="135">
        <v>8238.15</v>
      </c>
    </row>
    <row r="158" spans="2:3" x14ac:dyDescent="0.3">
      <c r="B158" s="134">
        <v>42296</v>
      </c>
      <c r="C158" s="135">
        <v>8275.0499999999993</v>
      </c>
    </row>
    <row r="159" spans="2:3" x14ac:dyDescent="0.3">
      <c r="B159" s="134">
        <v>42297</v>
      </c>
      <c r="C159" s="135">
        <v>8261.65</v>
      </c>
    </row>
    <row r="160" spans="2:3" x14ac:dyDescent="0.3">
      <c r="B160" s="134">
        <v>42298</v>
      </c>
      <c r="C160" s="135">
        <v>8251.7000000000007</v>
      </c>
    </row>
    <row r="161" spans="2:3" x14ac:dyDescent="0.3">
      <c r="B161" s="134">
        <v>42300</v>
      </c>
      <c r="C161" s="135">
        <v>8295.4500000000007</v>
      </c>
    </row>
    <row r="162" spans="2:3" x14ac:dyDescent="0.3">
      <c r="B162" s="134">
        <v>42303</v>
      </c>
      <c r="C162" s="135">
        <v>8260.5499999999993</v>
      </c>
    </row>
    <row r="163" spans="2:3" x14ac:dyDescent="0.3">
      <c r="B163" s="134">
        <v>42304</v>
      </c>
      <c r="C163" s="135">
        <v>8232.9</v>
      </c>
    </row>
    <row r="164" spans="2:3" x14ac:dyDescent="0.3">
      <c r="B164" s="134">
        <v>42305</v>
      </c>
      <c r="C164" s="135">
        <v>8171.2</v>
      </c>
    </row>
    <row r="165" spans="2:3" x14ac:dyDescent="0.3">
      <c r="B165" s="134">
        <v>42306</v>
      </c>
      <c r="C165" s="135">
        <v>8111.75</v>
      </c>
    </row>
    <row r="166" spans="2:3" x14ac:dyDescent="0.3">
      <c r="B166" s="134">
        <v>42307</v>
      </c>
      <c r="C166" s="135">
        <v>8065.8</v>
      </c>
    </row>
    <row r="167" spans="2:3" x14ac:dyDescent="0.3">
      <c r="B167" s="134">
        <v>42310</v>
      </c>
      <c r="C167" s="135">
        <v>8050.8</v>
      </c>
    </row>
    <row r="168" spans="2:3" x14ac:dyDescent="0.3">
      <c r="B168" s="134">
        <v>42311</v>
      </c>
      <c r="C168" s="135">
        <v>8060.7</v>
      </c>
    </row>
    <row r="169" spans="2:3" x14ac:dyDescent="0.3">
      <c r="B169" s="134">
        <v>42312</v>
      </c>
      <c r="C169" s="135">
        <v>8040.2</v>
      </c>
    </row>
    <row r="170" spans="2:3" x14ac:dyDescent="0.3">
      <c r="B170" s="134">
        <v>42313</v>
      </c>
      <c r="C170" s="135">
        <v>7955.45</v>
      </c>
    </row>
    <row r="171" spans="2:3" x14ac:dyDescent="0.3">
      <c r="B171" s="134">
        <v>42314</v>
      </c>
      <c r="C171" s="135">
        <v>7954.3</v>
      </c>
    </row>
    <row r="172" spans="2:3" x14ac:dyDescent="0.3">
      <c r="B172" s="134">
        <v>42317</v>
      </c>
      <c r="C172" s="135">
        <v>7915.2</v>
      </c>
    </row>
    <row r="173" spans="2:3" x14ac:dyDescent="0.3">
      <c r="B173" s="134">
        <v>42318</v>
      </c>
      <c r="C173" s="135">
        <v>7783.35</v>
      </c>
    </row>
    <row r="174" spans="2:3" x14ac:dyDescent="0.3">
      <c r="B174" s="134">
        <v>42321</v>
      </c>
      <c r="C174" s="135">
        <v>7762.25</v>
      </c>
    </row>
    <row r="175" spans="2:3" x14ac:dyDescent="0.3">
      <c r="B175" s="134">
        <v>42324</v>
      </c>
      <c r="C175" s="135">
        <v>7806.6</v>
      </c>
    </row>
    <row r="176" spans="2:3" x14ac:dyDescent="0.3">
      <c r="B176" s="134">
        <v>42325</v>
      </c>
      <c r="C176" s="135">
        <v>7837.55</v>
      </c>
    </row>
    <row r="177" spans="2:3" x14ac:dyDescent="0.3">
      <c r="B177" s="134">
        <v>42326</v>
      </c>
      <c r="C177" s="135">
        <v>7731.8</v>
      </c>
    </row>
    <row r="178" spans="2:3" x14ac:dyDescent="0.3">
      <c r="B178" s="134">
        <v>42327</v>
      </c>
      <c r="C178" s="135">
        <v>7842.75</v>
      </c>
    </row>
    <row r="179" spans="2:3" x14ac:dyDescent="0.3">
      <c r="B179" s="134">
        <v>42328</v>
      </c>
      <c r="C179" s="135">
        <v>7856.55</v>
      </c>
    </row>
    <row r="180" spans="2:3" x14ac:dyDescent="0.3">
      <c r="B180" s="134">
        <v>42331</v>
      </c>
      <c r="C180" s="135">
        <v>7849.25</v>
      </c>
    </row>
    <row r="181" spans="2:3" x14ac:dyDescent="0.3">
      <c r="B181" s="134">
        <v>42332</v>
      </c>
      <c r="C181" s="135">
        <v>7831.6</v>
      </c>
    </row>
    <row r="182" spans="2:3" x14ac:dyDescent="0.3">
      <c r="B182" s="134">
        <v>42334</v>
      </c>
      <c r="C182" s="135">
        <v>7883.8</v>
      </c>
    </row>
    <row r="183" spans="2:3" x14ac:dyDescent="0.3">
      <c r="B183" s="134">
        <v>42335</v>
      </c>
      <c r="C183" s="135">
        <v>7942.7</v>
      </c>
    </row>
    <row r="184" spans="2:3" x14ac:dyDescent="0.3">
      <c r="B184" s="134">
        <v>42338</v>
      </c>
      <c r="C184" s="135">
        <v>7935.25</v>
      </c>
    </row>
    <row r="185" spans="2:3" x14ac:dyDescent="0.3">
      <c r="B185" s="134">
        <v>42339</v>
      </c>
      <c r="C185" s="135">
        <v>7954.9</v>
      </c>
    </row>
    <row r="186" spans="2:3" x14ac:dyDescent="0.3">
      <c r="B186" s="134">
        <v>42340</v>
      </c>
      <c r="C186" s="135">
        <v>7931.35</v>
      </c>
    </row>
    <row r="187" spans="2:3" x14ac:dyDescent="0.3">
      <c r="B187" s="134">
        <v>42341</v>
      </c>
      <c r="C187" s="135">
        <v>7864.15</v>
      </c>
    </row>
    <row r="188" spans="2:3" x14ac:dyDescent="0.3">
      <c r="B188" s="134">
        <v>42342</v>
      </c>
      <c r="C188" s="135">
        <v>7781.9</v>
      </c>
    </row>
    <row r="189" spans="2:3" x14ac:dyDescent="0.3">
      <c r="B189" s="134">
        <v>42345</v>
      </c>
      <c r="C189" s="135">
        <v>7765.4</v>
      </c>
    </row>
    <row r="190" spans="2:3" x14ac:dyDescent="0.3">
      <c r="B190" s="134">
        <v>42346</v>
      </c>
      <c r="C190" s="135">
        <v>7701.7</v>
      </c>
    </row>
    <row r="191" spans="2:3" x14ac:dyDescent="0.3">
      <c r="B191" s="134">
        <v>42347</v>
      </c>
      <c r="C191" s="135">
        <v>7612.5</v>
      </c>
    </row>
    <row r="192" spans="2:3" x14ac:dyDescent="0.3">
      <c r="B192" s="134">
        <v>42348</v>
      </c>
      <c r="C192" s="135">
        <v>7683.3</v>
      </c>
    </row>
    <row r="193" spans="2:3" x14ac:dyDescent="0.3">
      <c r="B193" s="134">
        <v>42349</v>
      </c>
      <c r="C193" s="135">
        <v>7610.45</v>
      </c>
    </row>
    <row r="194" spans="2:3" x14ac:dyDescent="0.3">
      <c r="B194" s="134">
        <v>42352</v>
      </c>
      <c r="C194" s="135">
        <v>7650.05</v>
      </c>
    </row>
    <row r="195" spans="2:3" x14ac:dyDescent="0.3">
      <c r="B195" s="134">
        <v>42353</v>
      </c>
      <c r="C195" s="135">
        <v>7700.9</v>
      </c>
    </row>
    <row r="196" spans="2:3" x14ac:dyDescent="0.3">
      <c r="B196" s="134">
        <v>42354</v>
      </c>
      <c r="C196" s="135">
        <v>7750.9</v>
      </c>
    </row>
    <row r="197" spans="2:3" x14ac:dyDescent="0.3">
      <c r="B197" s="134">
        <v>42355</v>
      </c>
      <c r="C197" s="135">
        <v>7844.35</v>
      </c>
    </row>
    <row r="198" spans="2:3" x14ac:dyDescent="0.3">
      <c r="B198" s="134">
        <v>42356</v>
      </c>
      <c r="C198" s="135">
        <v>7761.95</v>
      </c>
    </row>
    <row r="199" spans="2:3" x14ac:dyDescent="0.3">
      <c r="B199" s="134">
        <v>42359</v>
      </c>
      <c r="C199" s="135">
        <v>7834.45</v>
      </c>
    </row>
    <row r="200" spans="2:3" x14ac:dyDescent="0.3">
      <c r="B200" s="134">
        <v>42360</v>
      </c>
      <c r="C200" s="135">
        <v>7786.1</v>
      </c>
    </row>
    <row r="201" spans="2:3" x14ac:dyDescent="0.3">
      <c r="B201" s="134">
        <v>42361</v>
      </c>
      <c r="C201" s="135">
        <v>7865.95</v>
      </c>
    </row>
    <row r="202" spans="2:3" x14ac:dyDescent="0.3">
      <c r="B202" s="134">
        <v>42362</v>
      </c>
      <c r="C202" s="135">
        <v>7861.05</v>
      </c>
    </row>
    <row r="203" spans="2:3" x14ac:dyDescent="0.3">
      <c r="B203" s="134">
        <v>42366</v>
      </c>
      <c r="C203" s="135">
        <v>7925.15</v>
      </c>
    </row>
    <row r="204" spans="2:3" x14ac:dyDescent="0.3">
      <c r="B204" s="134">
        <v>42367</v>
      </c>
      <c r="C204" s="135">
        <v>7928.95</v>
      </c>
    </row>
    <row r="205" spans="2:3" x14ac:dyDescent="0.3">
      <c r="B205" s="134">
        <v>42368</v>
      </c>
      <c r="C205" s="135">
        <v>7896.25</v>
      </c>
    </row>
    <row r="206" spans="2:3" x14ac:dyDescent="0.3">
      <c r="B206" s="134">
        <v>42369</v>
      </c>
      <c r="C206" s="135">
        <v>7946.35</v>
      </c>
    </row>
    <row r="207" spans="2:3" x14ac:dyDescent="0.3">
      <c r="B207" s="134">
        <v>42373</v>
      </c>
      <c r="C207" s="135">
        <v>7791.3</v>
      </c>
    </row>
    <row r="208" spans="2:3" x14ac:dyDescent="0.3">
      <c r="B208" s="134">
        <v>42374</v>
      </c>
      <c r="C208" s="135">
        <v>7784.65</v>
      </c>
    </row>
    <row r="209" spans="2:3" x14ac:dyDescent="0.3">
      <c r="B209" s="134">
        <v>42375</v>
      </c>
      <c r="C209" s="135">
        <v>7741</v>
      </c>
    </row>
    <row r="210" spans="2:3" x14ac:dyDescent="0.3">
      <c r="B210" s="134">
        <v>42376</v>
      </c>
      <c r="C210" s="135">
        <v>7568.3</v>
      </c>
    </row>
    <row r="211" spans="2:3" x14ac:dyDescent="0.3">
      <c r="B211" s="134">
        <v>42377</v>
      </c>
      <c r="C211" s="135">
        <v>7601.35</v>
      </c>
    </row>
    <row r="212" spans="2:3" x14ac:dyDescent="0.3">
      <c r="B212" s="134">
        <v>42380</v>
      </c>
      <c r="C212" s="135">
        <v>7563.85</v>
      </c>
    </row>
    <row r="213" spans="2:3" x14ac:dyDescent="0.3">
      <c r="B213" s="134">
        <v>42381</v>
      </c>
      <c r="C213" s="135">
        <v>7510.3</v>
      </c>
    </row>
    <row r="214" spans="2:3" x14ac:dyDescent="0.3">
      <c r="B214" s="134">
        <v>42382</v>
      </c>
      <c r="C214" s="135">
        <v>7562.4</v>
      </c>
    </row>
    <row r="215" spans="2:3" x14ac:dyDescent="0.3">
      <c r="B215" s="134">
        <v>42383</v>
      </c>
      <c r="C215" s="135">
        <v>7536.8</v>
      </c>
    </row>
    <row r="216" spans="2:3" x14ac:dyDescent="0.3">
      <c r="B216" s="134">
        <v>42384</v>
      </c>
      <c r="C216" s="135">
        <v>7437.8</v>
      </c>
    </row>
    <row r="217" spans="2:3" x14ac:dyDescent="0.3">
      <c r="B217" s="134">
        <v>42387</v>
      </c>
      <c r="C217" s="135">
        <v>7351</v>
      </c>
    </row>
    <row r="218" spans="2:3" x14ac:dyDescent="0.3">
      <c r="B218" s="134">
        <v>42388</v>
      </c>
      <c r="C218" s="135">
        <v>7435.1</v>
      </c>
    </row>
    <row r="219" spans="2:3" x14ac:dyDescent="0.3">
      <c r="B219" s="134">
        <v>42389</v>
      </c>
      <c r="C219" s="135">
        <v>7309.3</v>
      </c>
    </row>
    <row r="220" spans="2:3" x14ac:dyDescent="0.3">
      <c r="B220" s="134">
        <v>42390</v>
      </c>
      <c r="C220" s="135">
        <v>7276.8</v>
      </c>
    </row>
    <row r="221" spans="2:3" x14ac:dyDescent="0.3">
      <c r="B221" s="134">
        <v>42391</v>
      </c>
      <c r="C221" s="135">
        <v>7422.45</v>
      </c>
    </row>
    <row r="222" spans="2:3" x14ac:dyDescent="0.3">
      <c r="B222" s="134">
        <v>42394</v>
      </c>
      <c r="C222" s="135">
        <v>7436.15</v>
      </c>
    </row>
    <row r="223" spans="2:3" x14ac:dyDescent="0.3">
      <c r="B223" s="134">
        <v>42396</v>
      </c>
      <c r="C223" s="135">
        <v>7437.75</v>
      </c>
    </row>
    <row r="224" spans="2:3" x14ac:dyDescent="0.3">
      <c r="B224" s="134">
        <v>42397</v>
      </c>
      <c r="C224" s="135">
        <v>7424.65</v>
      </c>
    </row>
    <row r="225" spans="2:3" x14ac:dyDescent="0.3">
      <c r="B225" s="134">
        <v>42398</v>
      </c>
      <c r="C225" s="135">
        <v>7563.55</v>
      </c>
    </row>
    <row r="226" spans="2:3" x14ac:dyDescent="0.3">
      <c r="B226" s="134">
        <v>42401</v>
      </c>
      <c r="C226" s="135">
        <v>7555.95</v>
      </c>
    </row>
    <row r="227" spans="2:3" x14ac:dyDescent="0.3">
      <c r="B227" s="134">
        <v>42402</v>
      </c>
      <c r="C227" s="135">
        <v>7455.55</v>
      </c>
    </row>
    <row r="228" spans="2:3" x14ac:dyDescent="0.3">
      <c r="B228" s="134">
        <v>42403</v>
      </c>
      <c r="C228" s="135">
        <v>7361.8</v>
      </c>
    </row>
    <row r="229" spans="2:3" x14ac:dyDescent="0.3">
      <c r="B229" s="134">
        <v>42404</v>
      </c>
      <c r="C229" s="135">
        <v>7404</v>
      </c>
    </row>
    <row r="230" spans="2:3" x14ac:dyDescent="0.3">
      <c r="B230" s="134">
        <v>42405</v>
      </c>
      <c r="C230" s="135">
        <v>7489.1</v>
      </c>
    </row>
    <row r="231" spans="2:3" x14ac:dyDescent="0.3">
      <c r="B231" s="134">
        <v>42408</v>
      </c>
      <c r="C231" s="135">
        <v>7387.25</v>
      </c>
    </row>
    <row r="232" spans="2:3" x14ac:dyDescent="0.3">
      <c r="B232" s="134">
        <v>42409</v>
      </c>
      <c r="C232" s="135">
        <v>7298.2</v>
      </c>
    </row>
    <row r="233" spans="2:3" x14ac:dyDescent="0.3">
      <c r="B233" s="134">
        <v>42410</v>
      </c>
      <c r="C233" s="135">
        <v>7215.7</v>
      </c>
    </row>
    <row r="234" spans="2:3" x14ac:dyDescent="0.3">
      <c r="B234" s="134">
        <v>42411</v>
      </c>
      <c r="C234" s="135">
        <v>6976.35</v>
      </c>
    </row>
    <row r="235" spans="2:3" x14ac:dyDescent="0.3">
      <c r="B235" s="134">
        <v>42412</v>
      </c>
      <c r="C235" s="135">
        <v>6980.95</v>
      </c>
    </row>
    <row r="236" spans="2:3" x14ac:dyDescent="0.3">
      <c r="B236" s="134">
        <v>42415</v>
      </c>
      <c r="C236" s="135">
        <v>7162.95</v>
      </c>
    </row>
    <row r="237" spans="2:3" x14ac:dyDescent="0.3">
      <c r="B237" s="134">
        <v>42416</v>
      </c>
      <c r="C237" s="135">
        <v>7048.25</v>
      </c>
    </row>
    <row r="238" spans="2:3" x14ac:dyDescent="0.3">
      <c r="B238" s="134">
        <v>42417</v>
      </c>
      <c r="C238" s="135">
        <v>7108.45</v>
      </c>
    </row>
    <row r="239" spans="2:3" x14ac:dyDescent="0.3">
      <c r="B239" s="134">
        <v>42418</v>
      </c>
      <c r="C239" s="135">
        <v>7191.75</v>
      </c>
    </row>
    <row r="240" spans="2:3" x14ac:dyDescent="0.3">
      <c r="B240" s="134">
        <v>42419</v>
      </c>
      <c r="C240" s="135">
        <v>7210.75</v>
      </c>
    </row>
    <row r="241" spans="2:3" x14ac:dyDescent="0.3">
      <c r="B241" s="134">
        <v>42422</v>
      </c>
      <c r="C241" s="135">
        <v>7234.55</v>
      </c>
    </row>
    <row r="242" spans="2:3" x14ac:dyDescent="0.3">
      <c r="B242" s="134">
        <v>42423</v>
      </c>
      <c r="C242" s="135">
        <v>7109.55</v>
      </c>
    </row>
    <row r="243" spans="2:3" x14ac:dyDescent="0.3">
      <c r="B243" s="134">
        <v>42424</v>
      </c>
      <c r="C243" s="135">
        <v>7018.7</v>
      </c>
    </row>
    <row r="244" spans="2:3" x14ac:dyDescent="0.3">
      <c r="B244" s="134">
        <v>42425</v>
      </c>
      <c r="C244" s="135">
        <v>6970.6</v>
      </c>
    </row>
    <row r="245" spans="2:3" x14ac:dyDescent="0.3">
      <c r="B245" s="134">
        <v>42426</v>
      </c>
      <c r="C245" s="135">
        <v>7029.75</v>
      </c>
    </row>
    <row r="246" spans="2:3" x14ac:dyDescent="0.3">
      <c r="B246" s="134">
        <v>42429</v>
      </c>
      <c r="C246" s="135">
        <v>6987.05</v>
      </c>
    </row>
    <row r="247" spans="2:3" x14ac:dyDescent="0.3">
      <c r="B247" s="134">
        <v>42430</v>
      </c>
      <c r="C247" s="135">
        <v>7222.3</v>
      </c>
    </row>
    <row r="248" spans="2:3" x14ac:dyDescent="0.3">
      <c r="B248" s="134">
        <v>42431</v>
      </c>
      <c r="C248" s="135">
        <v>7368.85</v>
      </c>
    </row>
    <row r="249" spans="2:3" x14ac:dyDescent="0.3">
      <c r="B249" s="134">
        <v>42432</v>
      </c>
      <c r="C249" s="135">
        <v>7475.6</v>
      </c>
    </row>
    <row r="250" spans="2:3" x14ac:dyDescent="0.3">
      <c r="B250" s="134">
        <v>42433</v>
      </c>
      <c r="C250" s="135">
        <v>7485.35</v>
      </c>
    </row>
    <row r="251" spans="2:3" x14ac:dyDescent="0.3">
      <c r="B251" s="134">
        <v>42437</v>
      </c>
      <c r="C251" s="135">
        <v>7485.3</v>
      </c>
    </row>
    <row r="252" spans="2:3" x14ac:dyDescent="0.3">
      <c r="B252" s="134">
        <v>42438</v>
      </c>
      <c r="C252" s="135">
        <v>7531.8</v>
      </c>
    </row>
    <row r="253" spans="2:3" x14ac:dyDescent="0.3">
      <c r="B253" s="134">
        <v>42439</v>
      </c>
      <c r="C253" s="135">
        <v>7486.15</v>
      </c>
    </row>
    <row r="254" spans="2:3" x14ac:dyDescent="0.3">
      <c r="B254" s="134">
        <v>42440</v>
      </c>
      <c r="C254" s="135">
        <v>7510.2</v>
      </c>
    </row>
    <row r="255" spans="2:3" x14ac:dyDescent="0.3">
      <c r="B255" s="134">
        <v>42443</v>
      </c>
      <c r="C255" s="135">
        <v>7538.75</v>
      </c>
    </row>
    <row r="256" spans="2:3" x14ac:dyDescent="0.3">
      <c r="B256" s="134">
        <v>42444</v>
      </c>
      <c r="C256" s="135">
        <v>7460.6</v>
      </c>
    </row>
    <row r="257" spans="2:3" x14ac:dyDescent="0.3">
      <c r="B257" s="134">
        <v>42445</v>
      </c>
      <c r="C257" s="135">
        <v>7498.75</v>
      </c>
    </row>
    <row r="258" spans="2:3" x14ac:dyDescent="0.3">
      <c r="B258" s="134">
        <v>42446</v>
      </c>
      <c r="C258" s="135">
        <v>7512.55</v>
      </c>
    </row>
    <row r="259" spans="2:3" x14ac:dyDescent="0.3">
      <c r="B259" s="134">
        <v>42447</v>
      </c>
      <c r="C259" s="135">
        <v>7604.35</v>
      </c>
    </row>
    <row r="260" spans="2:3" x14ac:dyDescent="0.3">
      <c r="B260" s="134">
        <v>42450</v>
      </c>
      <c r="C260" s="135">
        <v>7704.25</v>
      </c>
    </row>
    <row r="261" spans="2:3" x14ac:dyDescent="0.3">
      <c r="B261" s="134">
        <v>42451</v>
      </c>
      <c r="C261" s="135">
        <v>7714.9</v>
      </c>
    </row>
    <row r="262" spans="2:3" x14ac:dyDescent="0.3">
      <c r="B262" s="134">
        <v>42452</v>
      </c>
      <c r="C262" s="135">
        <v>7716.5</v>
      </c>
    </row>
    <row r="263" spans="2:3" x14ac:dyDescent="0.3">
      <c r="B263" s="134">
        <v>42457</v>
      </c>
      <c r="C263" s="135">
        <v>7615.1</v>
      </c>
    </row>
    <row r="264" spans="2:3" x14ac:dyDescent="0.3">
      <c r="B264" s="134">
        <v>42458</v>
      </c>
      <c r="C264" s="135">
        <v>7597</v>
      </c>
    </row>
    <row r="265" spans="2:3" x14ac:dyDescent="0.3">
      <c r="B265" s="134">
        <v>42459</v>
      </c>
      <c r="C265" s="135">
        <v>7735.2</v>
      </c>
    </row>
    <row r="266" spans="2:3" x14ac:dyDescent="0.3">
      <c r="B266" s="134">
        <v>42460</v>
      </c>
      <c r="C266" s="135">
        <v>7738.4</v>
      </c>
    </row>
    <row r="267" spans="2:3" x14ac:dyDescent="0.3">
      <c r="B267" s="134">
        <v>42461</v>
      </c>
      <c r="C267" s="135">
        <v>7713.05</v>
      </c>
    </row>
    <row r="268" spans="2:3" x14ac:dyDescent="0.3">
      <c r="B268" s="134">
        <v>42464</v>
      </c>
      <c r="C268" s="135">
        <v>7758.8</v>
      </c>
    </row>
    <row r="269" spans="2:3" x14ac:dyDescent="0.3">
      <c r="B269" s="134">
        <v>42465</v>
      </c>
      <c r="C269" s="135">
        <v>7603.2</v>
      </c>
    </row>
    <row r="270" spans="2:3" x14ac:dyDescent="0.3">
      <c r="B270" s="134">
        <v>42466</v>
      </c>
      <c r="C270" s="135">
        <v>7614.35</v>
      </c>
    </row>
    <row r="271" spans="2:3" x14ac:dyDescent="0.3">
      <c r="B271" s="134">
        <v>42467</v>
      </c>
      <c r="C271" s="135">
        <v>7546.45</v>
      </c>
    </row>
    <row r="272" spans="2:3" x14ac:dyDescent="0.3">
      <c r="B272" s="134">
        <v>42468</v>
      </c>
      <c r="C272" s="135">
        <v>7555.2</v>
      </c>
    </row>
    <row r="273" spans="2:3" x14ac:dyDescent="0.3">
      <c r="B273" s="134">
        <v>42471</v>
      </c>
      <c r="C273" s="135">
        <v>7671.4</v>
      </c>
    </row>
    <row r="274" spans="2:3" x14ac:dyDescent="0.3">
      <c r="B274" s="134">
        <v>42472</v>
      </c>
      <c r="C274" s="135">
        <v>7708.95</v>
      </c>
    </row>
    <row r="275" spans="2:3" x14ac:dyDescent="0.3">
      <c r="B275" s="134">
        <v>42473</v>
      </c>
      <c r="C275" s="135">
        <v>7850.45</v>
      </c>
    </row>
    <row r="276" spans="2:3" x14ac:dyDescent="0.3">
      <c r="B276" s="134">
        <v>42478</v>
      </c>
      <c r="C276" s="135">
        <v>7914.7</v>
      </c>
    </row>
    <row r="277" spans="2:3" x14ac:dyDescent="0.3">
      <c r="B277" s="134">
        <v>42480</v>
      </c>
      <c r="C277" s="135">
        <v>7914.75</v>
      </c>
    </row>
    <row r="278" spans="2:3" x14ac:dyDescent="0.3">
      <c r="B278" s="134">
        <v>42481</v>
      </c>
      <c r="C278" s="135">
        <v>7912.05</v>
      </c>
    </row>
    <row r="279" spans="2:3" x14ac:dyDescent="0.3">
      <c r="B279" s="134">
        <v>42482</v>
      </c>
      <c r="C279" s="135">
        <v>7899.3</v>
      </c>
    </row>
    <row r="280" spans="2:3" x14ac:dyDescent="0.3">
      <c r="B280" s="134">
        <v>42485</v>
      </c>
      <c r="C280" s="135">
        <v>7855.05</v>
      </c>
    </row>
    <row r="281" spans="2:3" x14ac:dyDescent="0.3">
      <c r="B281" s="134">
        <v>42486</v>
      </c>
      <c r="C281" s="135">
        <v>7962.65</v>
      </c>
    </row>
    <row r="282" spans="2:3" x14ac:dyDescent="0.3">
      <c r="B282" s="134">
        <v>42487</v>
      </c>
      <c r="C282" s="135">
        <v>7979.9</v>
      </c>
    </row>
    <row r="283" spans="2:3" x14ac:dyDescent="0.3">
      <c r="B283" s="134">
        <v>42488</v>
      </c>
      <c r="C283" s="135">
        <v>7847.25</v>
      </c>
    </row>
    <row r="284" spans="2:3" x14ac:dyDescent="0.3">
      <c r="B284" s="134">
        <v>42489</v>
      </c>
      <c r="C284" s="135">
        <v>7849.8</v>
      </c>
    </row>
    <row r="285" spans="2:3" x14ac:dyDescent="0.3">
      <c r="B285" s="134">
        <v>42492</v>
      </c>
      <c r="C285" s="135">
        <v>7805.9</v>
      </c>
    </row>
    <row r="286" spans="2:3" x14ac:dyDescent="0.3">
      <c r="B286" s="134">
        <v>42493</v>
      </c>
      <c r="C286" s="135">
        <v>7747</v>
      </c>
    </row>
    <row r="287" spans="2:3" x14ac:dyDescent="0.3">
      <c r="B287" s="134">
        <v>42494</v>
      </c>
      <c r="C287" s="135">
        <v>7706.55</v>
      </c>
    </row>
    <row r="288" spans="2:3" x14ac:dyDescent="0.3">
      <c r="B288" s="134">
        <v>42495</v>
      </c>
      <c r="C288" s="135">
        <v>7735.5</v>
      </c>
    </row>
    <row r="289" spans="2:3" x14ac:dyDescent="0.3">
      <c r="B289" s="134">
        <v>42496</v>
      </c>
      <c r="C289" s="135">
        <v>7733.45</v>
      </c>
    </row>
    <row r="290" spans="2:3" x14ac:dyDescent="0.3">
      <c r="B290" s="134">
        <v>42499</v>
      </c>
      <c r="C290" s="135">
        <v>7866.05</v>
      </c>
    </row>
    <row r="291" spans="2:3" x14ac:dyDescent="0.3">
      <c r="B291" s="134">
        <v>42500</v>
      </c>
      <c r="C291" s="135">
        <v>7887.8</v>
      </c>
    </row>
    <row r="292" spans="2:3" x14ac:dyDescent="0.3">
      <c r="B292" s="134">
        <v>42501</v>
      </c>
      <c r="C292" s="135">
        <v>7848.85</v>
      </c>
    </row>
    <row r="293" spans="2:3" x14ac:dyDescent="0.3">
      <c r="B293" s="134">
        <v>42502</v>
      </c>
      <c r="C293" s="135">
        <v>7900.4</v>
      </c>
    </row>
    <row r="294" spans="2:3" x14ac:dyDescent="0.3">
      <c r="B294" s="134">
        <v>42503</v>
      </c>
      <c r="C294" s="135">
        <v>7814.9</v>
      </c>
    </row>
    <row r="295" spans="2:3" x14ac:dyDescent="0.3">
      <c r="B295" s="134">
        <v>42506</v>
      </c>
      <c r="C295" s="135">
        <v>7860.75</v>
      </c>
    </row>
    <row r="296" spans="2:3" x14ac:dyDescent="0.3">
      <c r="B296" s="134">
        <v>42507</v>
      </c>
      <c r="C296" s="135">
        <v>7890.75</v>
      </c>
    </row>
    <row r="297" spans="2:3" x14ac:dyDescent="0.3">
      <c r="B297" s="134">
        <v>42508</v>
      </c>
      <c r="C297" s="135">
        <v>7870.15</v>
      </c>
    </row>
    <row r="298" spans="2:3" x14ac:dyDescent="0.3">
      <c r="B298" s="134">
        <v>42509</v>
      </c>
      <c r="C298" s="135">
        <v>7783.4</v>
      </c>
    </row>
    <row r="299" spans="2:3" x14ac:dyDescent="0.3">
      <c r="B299" s="134">
        <v>42510</v>
      </c>
      <c r="C299" s="135">
        <v>7749.7</v>
      </c>
    </row>
    <row r="300" spans="2:3" x14ac:dyDescent="0.3">
      <c r="B300" s="134">
        <v>42513</v>
      </c>
      <c r="C300" s="135">
        <v>7731.05</v>
      </c>
    </row>
    <row r="301" spans="2:3" x14ac:dyDescent="0.3">
      <c r="B301" s="134">
        <v>42514</v>
      </c>
      <c r="C301" s="135">
        <v>7748.85</v>
      </c>
    </row>
    <row r="302" spans="2:3" x14ac:dyDescent="0.3">
      <c r="B302" s="134">
        <v>42515</v>
      </c>
      <c r="C302" s="135">
        <v>7934.9</v>
      </c>
    </row>
    <row r="303" spans="2:3" x14ac:dyDescent="0.3">
      <c r="B303" s="134">
        <v>42516</v>
      </c>
      <c r="C303" s="135">
        <v>8069.65</v>
      </c>
    </row>
    <row r="304" spans="2:3" x14ac:dyDescent="0.3">
      <c r="B304" s="134">
        <v>42517</v>
      </c>
      <c r="C304" s="135">
        <v>8156.65</v>
      </c>
    </row>
    <row r="305" spans="2:3" x14ac:dyDescent="0.3">
      <c r="B305" s="134">
        <v>42520</v>
      </c>
      <c r="C305" s="135">
        <v>8178.5</v>
      </c>
    </row>
    <row r="306" spans="2:3" x14ac:dyDescent="0.3">
      <c r="B306" s="134">
        <v>42521</v>
      </c>
      <c r="C306" s="135">
        <v>8160.1</v>
      </c>
    </row>
    <row r="307" spans="2:3" x14ac:dyDescent="0.3">
      <c r="B307" s="134">
        <v>42522</v>
      </c>
      <c r="C307" s="135">
        <v>8179.95</v>
      </c>
    </row>
    <row r="308" spans="2:3" x14ac:dyDescent="0.3">
      <c r="B308" s="134">
        <v>42523</v>
      </c>
      <c r="C308" s="135">
        <v>8218.9500000000007</v>
      </c>
    </row>
    <row r="309" spans="2:3" x14ac:dyDescent="0.3">
      <c r="B309" s="134">
        <v>42524</v>
      </c>
      <c r="C309" s="135">
        <v>8220.7999999999993</v>
      </c>
    </row>
    <row r="310" spans="2:3" x14ac:dyDescent="0.3">
      <c r="B310" s="134">
        <v>42527</v>
      </c>
      <c r="C310" s="135">
        <v>8201.0499999999993</v>
      </c>
    </row>
    <row r="311" spans="2:3" x14ac:dyDescent="0.3">
      <c r="B311" s="134">
        <v>42528</v>
      </c>
      <c r="C311" s="135">
        <v>8266.4500000000007</v>
      </c>
    </row>
    <row r="312" spans="2:3" x14ac:dyDescent="0.3">
      <c r="B312" s="134">
        <v>42529</v>
      </c>
      <c r="C312" s="135">
        <v>8273.0499999999993</v>
      </c>
    </row>
    <row r="313" spans="2:3" x14ac:dyDescent="0.3">
      <c r="B313" s="134">
        <v>42530</v>
      </c>
      <c r="C313" s="135">
        <v>8203.6</v>
      </c>
    </row>
    <row r="314" spans="2:3" x14ac:dyDescent="0.3">
      <c r="B314" s="134">
        <v>42531</v>
      </c>
      <c r="C314" s="135">
        <v>8170.05</v>
      </c>
    </row>
    <row r="315" spans="2:3" x14ac:dyDescent="0.3">
      <c r="B315" s="134">
        <v>42534</v>
      </c>
      <c r="C315" s="135">
        <v>8110.6</v>
      </c>
    </row>
    <row r="316" spans="2:3" x14ac:dyDescent="0.3">
      <c r="B316" s="134">
        <v>42535</v>
      </c>
      <c r="C316" s="135">
        <v>8108.85</v>
      </c>
    </row>
    <row r="317" spans="2:3" x14ac:dyDescent="0.3">
      <c r="B317" s="134">
        <v>42536</v>
      </c>
      <c r="C317" s="135">
        <v>8206.6</v>
      </c>
    </row>
    <row r="318" spans="2:3" x14ac:dyDescent="0.3">
      <c r="B318" s="134">
        <v>42537</v>
      </c>
      <c r="C318" s="135">
        <v>8140.75</v>
      </c>
    </row>
    <row r="319" spans="2:3" x14ac:dyDescent="0.3">
      <c r="B319" s="134">
        <v>42538</v>
      </c>
      <c r="C319" s="135">
        <v>8170.2</v>
      </c>
    </row>
    <row r="320" spans="2:3" x14ac:dyDescent="0.3">
      <c r="B320" s="134">
        <v>42541</v>
      </c>
      <c r="C320" s="135">
        <v>8238.5</v>
      </c>
    </row>
    <row r="321" spans="2:3" x14ac:dyDescent="0.3">
      <c r="B321" s="134">
        <v>42542</v>
      </c>
      <c r="C321" s="135">
        <v>8219.9</v>
      </c>
    </row>
    <row r="322" spans="2:3" x14ac:dyDescent="0.3">
      <c r="B322" s="134">
        <v>42543</v>
      </c>
      <c r="C322" s="135">
        <v>8203.7000000000007</v>
      </c>
    </row>
    <row r="323" spans="2:3" x14ac:dyDescent="0.3">
      <c r="B323" s="134">
        <v>42544</v>
      </c>
      <c r="C323" s="135">
        <v>8270.4500000000007</v>
      </c>
    </row>
    <row r="324" spans="2:3" x14ac:dyDescent="0.3">
      <c r="B324" s="134">
        <v>42545</v>
      </c>
      <c r="C324" s="135">
        <v>8088.6</v>
      </c>
    </row>
    <row r="325" spans="2:3" x14ac:dyDescent="0.3">
      <c r="B325" s="134">
        <v>42548</v>
      </c>
      <c r="C325" s="135">
        <v>8094.7</v>
      </c>
    </row>
    <row r="326" spans="2:3" x14ac:dyDescent="0.3">
      <c r="B326" s="134">
        <v>42549</v>
      </c>
      <c r="C326" s="135">
        <v>8127.85</v>
      </c>
    </row>
    <row r="327" spans="2:3" x14ac:dyDescent="0.3">
      <c r="B327" s="134">
        <v>42550</v>
      </c>
      <c r="C327" s="135">
        <v>8204</v>
      </c>
    </row>
    <row r="328" spans="2:3" x14ac:dyDescent="0.3">
      <c r="B328" s="134">
        <v>42551</v>
      </c>
      <c r="C328" s="135">
        <v>8287.75</v>
      </c>
    </row>
    <row r="329" spans="2:3" x14ac:dyDescent="0.3">
      <c r="B329" s="134">
        <v>42552</v>
      </c>
      <c r="C329" s="135">
        <v>8328.35</v>
      </c>
    </row>
    <row r="330" spans="2:3" x14ac:dyDescent="0.3">
      <c r="B330" s="134">
        <v>42555</v>
      </c>
      <c r="C330" s="135">
        <v>8370.7000000000007</v>
      </c>
    </row>
    <row r="331" spans="2:3" x14ac:dyDescent="0.3">
      <c r="B331" s="134">
        <v>42556</v>
      </c>
      <c r="C331" s="135">
        <v>8335.9500000000007</v>
      </c>
    </row>
    <row r="332" spans="2:3" x14ac:dyDescent="0.3">
      <c r="B332" s="134">
        <v>42558</v>
      </c>
      <c r="C332" s="135">
        <v>8337.9</v>
      </c>
    </row>
    <row r="333" spans="2:3" x14ac:dyDescent="0.3">
      <c r="B333" s="134">
        <v>42559</v>
      </c>
      <c r="C333" s="135">
        <v>8323.2000000000007</v>
      </c>
    </row>
    <row r="334" spans="2:3" x14ac:dyDescent="0.3">
      <c r="B334" s="134">
        <v>42562</v>
      </c>
      <c r="C334" s="135">
        <v>8467.9</v>
      </c>
    </row>
    <row r="335" spans="2:3" x14ac:dyDescent="0.3">
      <c r="B335" s="134">
        <v>42563</v>
      </c>
      <c r="C335" s="135">
        <v>8521.0499999999993</v>
      </c>
    </row>
    <row r="336" spans="2:3" x14ac:dyDescent="0.3">
      <c r="B336" s="134">
        <v>42564</v>
      </c>
      <c r="C336" s="135">
        <v>8519.5</v>
      </c>
    </row>
    <row r="337" spans="2:3" x14ac:dyDescent="0.3">
      <c r="B337" s="134">
        <v>42565</v>
      </c>
      <c r="C337" s="135">
        <v>8565</v>
      </c>
    </row>
    <row r="338" spans="2:3" x14ac:dyDescent="0.3">
      <c r="B338" s="134">
        <v>42566</v>
      </c>
      <c r="C338" s="135">
        <v>8541.4</v>
      </c>
    </row>
    <row r="339" spans="2:3" x14ac:dyDescent="0.3">
      <c r="B339" s="134">
        <v>42569</v>
      </c>
      <c r="C339" s="135">
        <v>8508.7000000000007</v>
      </c>
    </row>
    <row r="340" spans="2:3" x14ac:dyDescent="0.3">
      <c r="B340" s="134">
        <v>42570</v>
      </c>
      <c r="C340" s="135">
        <v>8528.5499999999993</v>
      </c>
    </row>
    <row r="341" spans="2:3" x14ac:dyDescent="0.3">
      <c r="B341" s="134">
        <v>42571</v>
      </c>
      <c r="C341" s="135">
        <v>8565.85</v>
      </c>
    </row>
    <row r="342" spans="2:3" x14ac:dyDescent="0.3">
      <c r="B342" s="134">
        <v>42572</v>
      </c>
      <c r="C342" s="135">
        <v>8510.1</v>
      </c>
    </row>
    <row r="343" spans="2:3" x14ac:dyDescent="0.3">
      <c r="B343" s="134">
        <v>42573</v>
      </c>
      <c r="C343" s="135">
        <v>8541.2000000000007</v>
      </c>
    </row>
    <row r="344" spans="2:3" x14ac:dyDescent="0.3">
      <c r="B344" s="134">
        <v>42576</v>
      </c>
      <c r="C344" s="135">
        <v>8635.65</v>
      </c>
    </row>
    <row r="345" spans="2:3" x14ac:dyDescent="0.3">
      <c r="B345" s="134">
        <v>42577</v>
      </c>
      <c r="C345" s="135">
        <v>8590.65</v>
      </c>
    </row>
    <row r="346" spans="2:3" x14ac:dyDescent="0.3">
      <c r="B346" s="134">
        <v>42578</v>
      </c>
      <c r="C346" s="135">
        <v>8615.7999999999993</v>
      </c>
    </row>
    <row r="347" spans="2:3" x14ac:dyDescent="0.3">
      <c r="B347" s="134">
        <v>42579</v>
      </c>
      <c r="C347" s="135">
        <v>8666.2999999999993</v>
      </c>
    </row>
    <row r="348" spans="2:3" x14ac:dyDescent="0.3">
      <c r="B348" s="134">
        <v>42580</v>
      </c>
      <c r="C348" s="135">
        <v>8638.5</v>
      </c>
    </row>
    <row r="349" spans="2:3" x14ac:dyDescent="0.3">
      <c r="B349" s="134">
        <v>42583</v>
      </c>
      <c r="C349" s="135">
        <v>8636.5499999999993</v>
      </c>
    </row>
    <row r="350" spans="2:3" x14ac:dyDescent="0.3">
      <c r="B350" s="134">
        <v>42584</v>
      </c>
      <c r="C350" s="135">
        <v>8622.9</v>
      </c>
    </row>
    <row r="351" spans="2:3" x14ac:dyDescent="0.3">
      <c r="B351" s="134">
        <v>42585</v>
      </c>
      <c r="C351" s="135">
        <v>8544.85</v>
      </c>
    </row>
    <row r="352" spans="2:3" x14ac:dyDescent="0.3">
      <c r="B352" s="134">
        <v>42586</v>
      </c>
      <c r="C352" s="135">
        <v>8551.1</v>
      </c>
    </row>
    <row r="353" spans="2:3" x14ac:dyDescent="0.3">
      <c r="B353" s="134">
        <v>42587</v>
      </c>
      <c r="C353" s="135">
        <v>8683.15</v>
      </c>
    </row>
    <row r="354" spans="2:3" x14ac:dyDescent="0.3">
      <c r="B354" s="134">
        <v>42590</v>
      </c>
      <c r="C354" s="135">
        <v>8711.35</v>
      </c>
    </row>
    <row r="355" spans="2:3" x14ac:dyDescent="0.3">
      <c r="B355" s="134">
        <v>42591</v>
      </c>
      <c r="C355" s="135">
        <v>8678.25</v>
      </c>
    </row>
    <row r="356" spans="2:3" x14ac:dyDescent="0.3">
      <c r="B356" s="134">
        <v>42592</v>
      </c>
      <c r="C356" s="135">
        <v>8575.2999999999993</v>
      </c>
    </row>
    <row r="357" spans="2:3" x14ac:dyDescent="0.3">
      <c r="B357" s="134">
        <v>42593</v>
      </c>
      <c r="C357" s="135">
        <v>8592.15</v>
      </c>
    </row>
    <row r="358" spans="2:3" x14ac:dyDescent="0.3">
      <c r="B358" s="134">
        <v>42598</v>
      </c>
      <c r="C358" s="135">
        <v>8642.5499999999993</v>
      </c>
    </row>
    <row r="359" spans="2:3" x14ac:dyDescent="0.3">
      <c r="B359" s="134">
        <v>42599</v>
      </c>
      <c r="C359" s="135">
        <v>8624.0499999999993</v>
      </c>
    </row>
    <row r="360" spans="2:3" x14ac:dyDescent="0.3">
      <c r="B360" s="134">
        <v>42600</v>
      </c>
      <c r="C360" s="135">
        <v>8673.25</v>
      </c>
    </row>
    <row r="361" spans="2:3" x14ac:dyDescent="0.3">
      <c r="B361" s="134">
        <v>42601</v>
      </c>
      <c r="C361" s="135">
        <v>8666.9</v>
      </c>
    </row>
    <row r="362" spans="2:3" x14ac:dyDescent="0.3">
      <c r="B362" s="134">
        <v>42604</v>
      </c>
      <c r="C362" s="135">
        <v>8629.15</v>
      </c>
    </row>
    <row r="363" spans="2:3" x14ac:dyDescent="0.3">
      <c r="B363" s="134">
        <v>42605</v>
      </c>
      <c r="C363" s="135">
        <v>8632.6</v>
      </c>
    </row>
    <row r="364" spans="2:3" x14ac:dyDescent="0.3">
      <c r="B364" s="134">
        <v>42606</v>
      </c>
      <c r="C364" s="135">
        <v>8650.2999999999993</v>
      </c>
    </row>
    <row r="365" spans="2:3" x14ac:dyDescent="0.3">
      <c r="B365" s="134">
        <v>42607</v>
      </c>
      <c r="C365" s="135">
        <v>8592.2000000000007</v>
      </c>
    </row>
    <row r="366" spans="2:3" x14ac:dyDescent="0.3">
      <c r="B366" s="134">
        <v>42608</v>
      </c>
      <c r="C366" s="135">
        <v>8572.5499999999993</v>
      </c>
    </row>
    <row r="367" spans="2:3" x14ac:dyDescent="0.3">
      <c r="B367" s="134">
        <v>42611</v>
      </c>
      <c r="C367" s="135">
        <v>8607.4500000000007</v>
      </c>
    </row>
    <row r="368" spans="2:3" x14ac:dyDescent="0.3">
      <c r="B368" s="134">
        <v>42612</v>
      </c>
      <c r="C368" s="135">
        <v>8744.35</v>
      </c>
    </row>
    <row r="369" spans="2:3" x14ac:dyDescent="0.3">
      <c r="B369" s="134">
        <v>42613</v>
      </c>
      <c r="C369" s="135">
        <v>8786.2000000000007</v>
      </c>
    </row>
    <row r="370" spans="2:3" x14ac:dyDescent="0.3">
      <c r="B370" s="134">
        <v>42614</v>
      </c>
      <c r="C370" s="135">
        <v>8774.65</v>
      </c>
    </row>
    <row r="371" spans="2:3" x14ac:dyDescent="0.3">
      <c r="B371" s="134">
        <v>42615</v>
      </c>
      <c r="C371" s="135">
        <v>8809.65</v>
      </c>
    </row>
    <row r="372" spans="2:3" x14ac:dyDescent="0.3">
      <c r="B372" s="134">
        <v>42619</v>
      </c>
      <c r="C372" s="135">
        <v>8943</v>
      </c>
    </row>
    <row r="373" spans="2:3" x14ac:dyDescent="0.3">
      <c r="B373" s="134">
        <v>42620</v>
      </c>
      <c r="C373" s="135">
        <v>8917.9500000000007</v>
      </c>
    </row>
    <row r="374" spans="2:3" x14ac:dyDescent="0.3">
      <c r="B374" s="134">
        <v>42621</v>
      </c>
      <c r="C374" s="135">
        <v>8952.5</v>
      </c>
    </row>
    <row r="375" spans="2:3" x14ac:dyDescent="0.3">
      <c r="B375" s="134">
        <v>42622</v>
      </c>
      <c r="C375" s="135">
        <v>8866.7000000000007</v>
      </c>
    </row>
    <row r="376" spans="2:3" x14ac:dyDescent="0.3">
      <c r="B376" s="134">
        <v>42625</v>
      </c>
      <c r="C376" s="135">
        <v>8715.6</v>
      </c>
    </row>
    <row r="377" spans="2:3" x14ac:dyDescent="0.3">
      <c r="B377" s="134">
        <v>42627</v>
      </c>
      <c r="C377" s="135">
        <v>8726.6</v>
      </c>
    </row>
    <row r="378" spans="2:3" x14ac:dyDescent="0.3">
      <c r="B378" s="134">
        <v>42628</v>
      </c>
      <c r="C378" s="135">
        <v>8742.5499999999993</v>
      </c>
    </row>
    <row r="379" spans="2:3" x14ac:dyDescent="0.3">
      <c r="B379" s="134">
        <v>42629</v>
      </c>
      <c r="C379" s="135">
        <v>8779.85</v>
      </c>
    </row>
    <row r="380" spans="2:3" x14ac:dyDescent="0.3">
      <c r="B380" s="134">
        <v>42632</v>
      </c>
      <c r="C380" s="135">
        <v>8808.4</v>
      </c>
    </row>
    <row r="381" spans="2:3" x14ac:dyDescent="0.3">
      <c r="B381" s="134">
        <v>42633</v>
      </c>
      <c r="C381" s="135">
        <v>8775.9</v>
      </c>
    </row>
    <row r="382" spans="2:3" x14ac:dyDescent="0.3">
      <c r="B382" s="134">
        <v>42634</v>
      </c>
      <c r="C382" s="135">
        <v>8777.15</v>
      </c>
    </row>
    <row r="383" spans="2:3" x14ac:dyDescent="0.3">
      <c r="B383" s="134">
        <v>42635</v>
      </c>
      <c r="C383" s="135">
        <v>8867.4500000000007</v>
      </c>
    </row>
    <row r="384" spans="2:3" x14ac:dyDescent="0.3">
      <c r="B384" s="134">
        <v>42636</v>
      </c>
      <c r="C384" s="135">
        <v>8831.5499999999993</v>
      </c>
    </row>
    <row r="385" spans="2:3" x14ac:dyDescent="0.3">
      <c r="B385" s="134">
        <v>42639</v>
      </c>
      <c r="C385" s="135">
        <v>8723.0499999999993</v>
      </c>
    </row>
    <row r="386" spans="2:3" x14ac:dyDescent="0.3">
      <c r="B386" s="134">
        <v>42640</v>
      </c>
      <c r="C386" s="135">
        <v>8706.4</v>
      </c>
    </row>
    <row r="387" spans="2:3" x14ac:dyDescent="0.3">
      <c r="B387" s="134">
        <v>42641</v>
      </c>
      <c r="C387" s="135">
        <v>8745.15</v>
      </c>
    </row>
    <row r="388" spans="2:3" x14ac:dyDescent="0.3">
      <c r="B388" s="134">
        <v>42642</v>
      </c>
      <c r="C388" s="135">
        <v>8591.25</v>
      </c>
    </row>
    <row r="389" spans="2:3" x14ac:dyDescent="0.3">
      <c r="B389" s="134">
        <v>42643</v>
      </c>
      <c r="C389" s="135">
        <v>8611.15</v>
      </c>
    </row>
    <row r="390" spans="2:3" x14ac:dyDescent="0.3">
      <c r="B390" s="134">
        <v>42646</v>
      </c>
      <c r="C390" s="135">
        <v>8738.1</v>
      </c>
    </row>
    <row r="391" spans="2:3" x14ac:dyDescent="0.3">
      <c r="B391" s="134">
        <v>42647</v>
      </c>
      <c r="C391" s="135">
        <v>8769.15</v>
      </c>
    </row>
    <row r="392" spans="2:3" x14ac:dyDescent="0.3">
      <c r="B392" s="134">
        <v>42648</v>
      </c>
      <c r="C392" s="135">
        <v>8743.9500000000007</v>
      </c>
    </row>
    <row r="393" spans="2:3" x14ac:dyDescent="0.3">
      <c r="B393" s="134">
        <v>42649</v>
      </c>
      <c r="C393" s="135">
        <v>8709.5499999999993</v>
      </c>
    </row>
    <row r="394" spans="2:3" x14ac:dyDescent="0.3">
      <c r="B394" s="134">
        <v>42650</v>
      </c>
      <c r="C394" s="135">
        <v>8697.6</v>
      </c>
    </row>
    <row r="395" spans="2:3" x14ac:dyDescent="0.3">
      <c r="B395" s="134">
        <v>42653</v>
      </c>
      <c r="C395" s="135">
        <v>8708.7999999999993</v>
      </c>
    </row>
    <row r="396" spans="2:3" x14ac:dyDescent="0.3">
      <c r="B396" s="134">
        <v>42656</v>
      </c>
      <c r="C396" s="135">
        <v>8573.35</v>
      </c>
    </row>
    <row r="397" spans="2:3" x14ac:dyDescent="0.3">
      <c r="B397" s="134">
        <v>42657</v>
      </c>
      <c r="C397" s="135">
        <v>8583.4</v>
      </c>
    </row>
    <row r="398" spans="2:3" x14ac:dyDescent="0.3">
      <c r="B398" s="134">
        <v>42660</v>
      </c>
      <c r="C398" s="135">
        <v>8520.4</v>
      </c>
    </row>
    <row r="399" spans="2:3" x14ac:dyDescent="0.3">
      <c r="B399" s="134">
        <v>42661</v>
      </c>
      <c r="C399" s="135">
        <v>8677.9</v>
      </c>
    </row>
    <row r="400" spans="2:3" x14ac:dyDescent="0.3">
      <c r="B400" s="134">
        <v>42662</v>
      </c>
      <c r="C400" s="135">
        <v>8659.1</v>
      </c>
    </row>
    <row r="401" spans="2:3" x14ac:dyDescent="0.3">
      <c r="B401" s="134">
        <v>42663</v>
      </c>
      <c r="C401" s="135">
        <v>8699.4</v>
      </c>
    </row>
    <row r="402" spans="2:3" x14ac:dyDescent="0.3">
      <c r="B402" s="134">
        <v>42664</v>
      </c>
      <c r="C402" s="135">
        <v>8693.0499999999993</v>
      </c>
    </row>
    <row r="403" spans="2:3" x14ac:dyDescent="0.3">
      <c r="B403" s="134">
        <v>42667</v>
      </c>
      <c r="C403" s="135">
        <v>8708.9500000000007</v>
      </c>
    </row>
    <row r="404" spans="2:3" x14ac:dyDescent="0.3">
      <c r="B404" s="134">
        <v>42668</v>
      </c>
      <c r="C404" s="135">
        <v>8691.2999999999993</v>
      </c>
    </row>
    <row r="405" spans="2:3" x14ac:dyDescent="0.3">
      <c r="B405" s="134">
        <v>42669</v>
      </c>
      <c r="C405" s="135">
        <v>8615.25</v>
      </c>
    </row>
    <row r="406" spans="2:3" x14ac:dyDescent="0.3">
      <c r="B406" s="134">
        <v>42670</v>
      </c>
      <c r="C406" s="135">
        <v>8615.25</v>
      </c>
    </row>
    <row r="407" spans="2:3" x14ac:dyDescent="0.3">
      <c r="B407" s="134">
        <v>42671</v>
      </c>
      <c r="C407" s="135">
        <v>8638</v>
      </c>
    </row>
    <row r="408" spans="2:3" x14ac:dyDescent="0.3">
      <c r="B408" s="134">
        <v>42675</v>
      </c>
      <c r="C408" s="135">
        <v>8626.25</v>
      </c>
    </row>
    <row r="409" spans="2:3" x14ac:dyDescent="0.3">
      <c r="B409" s="134">
        <v>42676</v>
      </c>
      <c r="C409" s="135">
        <v>8514</v>
      </c>
    </row>
    <row r="410" spans="2:3" x14ac:dyDescent="0.3">
      <c r="B410" s="134">
        <v>42677</v>
      </c>
      <c r="C410" s="135">
        <v>8484.9500000000007</v>
      </c>
    </row>
    <row r="411" spans="2:3" x14ac:dyDescent="0.3">
      <c r="B411" s="134">
        <v>42678</v>
      </c>
      <c r="C411" s="135">
        <v>8433.75</v>
      </c>
    </row>
    <row r="412" spans="2:3" x14ac:dyDescent="0.3">
      <c r="B412" s="134">
        <v>42681</v>
      </c>
      <c r="C412" s="135">
        <v>8497.0499999999993</v>
      </c>
    </row>
    <row r="413" spans="2:3" x14ac:dyDescent="0.3">
      <c r="B413" s="134">
        <v>42682</v>
      </c>
      <c r="C413" s="135">
        <v>8543.5499999999993</v>
      </c>
    </row>
    <row r="414" spans="2:3" x14ac:dyDescent="0.3">
      <c r="B414" s="134">
        <v>42683</v>
      </c>
      <c r="C414" s="135">
        <v>8432</v>
      </c>
    </row>
    <row r="415" spans="2:3" x14ac:dyDescent="0.3">
      <c r="B415" s="134">
        <v>42684</v>
      </c>
      <c r="C415" s="135">
        <v>8525.75</v>
      </c>
    </row>
    <row r="416" spans="2:3" x14ac:dyDescent="0.3">
      <c r="B416" s="134">
        <v>42685</v>
      </c>
      <c r="C416" s="135">
        <v>8296.2999999999993</v>
      </c>
    </row>
    <row r="417" spans="2:3" x14ac:dyDescent="0.3">
      <c r="B417" s="134">
        <v>42689</v>
      </c>
      <c r="C417" s="135">
        <v>8108.45</v>
      </c>
    </row>
    <row r="418" spans="2:3" x14ac:dyDescent="0.3">
      <c r="B418" s="134">
        <v>42690</v>
      </c>
      <c r="C418" s="135">
        <v>8111.6</v>
      </c>
    </row>
    <row r="419" spans="2:3" x14ac:dyDescent="0.3">
      <c r="B419" s="134">
        <v>42691</v>
      </c>
      <c r="C419" s="135">
        <v>8079.95</v>
      </c>
    </row>
    <row r="420" spans="2:3" x14ac:dyDescent="0.3">
      <c r="B420" s="134">
        <v>42692</v>
      </c>
      <c r="C420" s="135">
        <v>8074.1</v>
      </c>
    </row>
    <row r="421" spans="2:3" x14ac:dyDescent="0.3">
      <c r="B421" s="134">
        <v>42695</v>
      </c>
      <c r="C421" s="135">
        <v>7929.1</v>
      </c>
    </row>
    <row r="422" spans="2:3" x14ac:dyDescent="0.3">
      <c r="B422" s="134">
        <v>42696</v>
      </c>
      <c r="C422" s="135">
        <v>8002.3</v>
      </c>
    </row>
    <row r="423" spans="2:3" x14ac:dyDescent="0.3">
      <c r="B423" s="134">
        <v>42697</v>
      </c>
      <c r="C423" s="135">
        <v>8033.3</v>
      </c>
    </row>
    <row r="424" spans="2:3" x14ac:dyDescent="0.3">
      <c r="B424" s="134">
        <v>42698</v>
      </c>
      <c r="C424" s="135">
        <v>7965.5</v>
      </c>
    </row>
    <row r="425" spans="2:3" x14ac:dyDescent="0.3">
      <c r="B425" s="134">
        <v>42699</v>
      </c>
      <c r="C425" s="135">
        <v>8114.3</v>
      </c>
    </row>
    <row r="426" spans="2:3" x14ac:dyDescent="0.3">
      <c r="B426" s="134">
        <v>42702</v>
      </c>
      <c r="C426" s="135">
        <v>8126.9</v>
      </c>
    </row>
    <row r="427" spans="2:3" x14ac:dyDescent="0.3">
      <c r="B427" s="134">
        <v>42703</v>
      </c>
      <c r="C427" s="135">
        <v>8142.15</v>
      </c>
    </row>
    <row r="428" spans="2:3" x14ac:dyDescent="0.3">
      <c r="B428" s="134">
        <v>42704</v>
      </c>
      <c r="C428" s="135">
        <v>8224.5</v>
      </c>
    </row>
    <row r="429" spans="2:3" x14ac:dyDescent="0.3">
      <c r="B429" s="134">
        <v>42705</v>
      </c>
      <c r="C429" s="135">
        <v>8192.9</v>
      </c>
    </row>
    <row r="430" spans="2:3" x14ac:dyDescent="0.3">
      <c r="B430" s="134">
        <v>42706</v>
      </c>
      <c r="C430" s="135">
        <v>8086.8</v>
      </c>
    </row>
    <row r="431" spans="2:3" x14ac:dyDescent="0.3">
      <c r="B431" s="134">
        <v>42709</v>
      </c>
      <c r="C431" s="135">
        <v>8128.75</v>
      </c>
    </row>
    <row r="432" spans="2:3" x14ac:dyDescent="0.3">
      <c r="B432" s="134">
        <v>42710</v>
      </c>
      <c r="C432" s="135">
        <v>8143.15</v>
      </c>
    </row>
    <row r="433" spans="2:3" x14ac:dyDescent="0.3">
      <c r="B433" s="134">
        <v>42711</v>
      </c>
      <c r="C433" s="135">
        <v>8102.05</v>
      </c>
    </row>
    <row r="434" spans="2:3" x14ac:dyDescent="0.3">
      <c r="B434" s="134">
        <v>42712</v>
      </c>
      <c r="C434" s="135">
        <v>8246.85</v>
      </c>
    </row>
    <row r="435" spans="2:3" x14ac:dyDescent="0.3">
      <c r="B435" s="134">
        <v>42713</v>
      </c>
      <c r="C435" s="135">
        <v>8261.75</v>
      </c>
    </row>
    <row r="436" spans="2:3" x14ac:dyDescent="0.3">
      <c r="B436" s="134">
        <v>42716</v>
      </c>
      <c r="C436" s="135">
        <v>8170.8</v>
      </c>
    </row>
    <row r="437" spans="2:3" x14ac:dyDescent="0.3">
      <c r="B437" s="134">
        <v>42717</v>
      </c>
      <c r="C437" s="135">
        <v>8221.7999999999993</v>
      </c>
    </row>
    <row r="438" spans="2:3" x14ac:dyDescent="0.3">
      <c r="B438" s="134">
        <v>42718</v>
      </c>
      <c r="C438" s="135">
        <v>8182.45</v>
      </c>
    </row>
    <row r="439" spans="2:3" x14ac:dyDescent="0.3">
      <c r="B439" s="134">
        <v>42719</v>
      </c>
      <c r="C439" s="135">
        <v>8153.6</v>
      </c>
    </row>
    <row r="440" spans="2:3" x14ac:dyDescent="0.3">
      <c r="B440" s="134">
        <v>42720</v>
      </c>
      <c r="C440" s="135">
        <v>8139.45</v>
      </c>
    </row>
    <row r="441" spans="2:3" x14ac:dyDescent="0.3">
      <c r="B441" s="134">
        <v>42723</v>
      </c>
      <c r="C441" s="135">
        <v>8104.35</v>
      </c>
    </row>
    <row r="442" spans="2:3" x14ac:dyDescent="0.3">
      <c r="B442" s="134">
        <v>42724</v>
      </c>
      <c r="C442" s="135">
        <v>8082.4</v>
      </c>
    </row>
    <row r="443" spans="2:3" x14ac:dyDescent="0.3">
      <c r="B443" s="134">
        <v>42725</v>
      </c>
      <c r="C443" s="135">
        <v>8061.3</v>
      </c>
    </row>
    <row r="444" spans="2:3" x14ac:dyDescent="0.3">
      <c r="B444" s="134">
        <v>42726</v>
      </c>
      <c r="C444" s="135">
        <v>7979.1</v>
      </c>
    </row>
    <row r="445" spans="2:3" x14ac:dyDescent="0.3">
      <c r="B445" s="134">
        <v>42727</v>
      </c>
      <c r="C445" s="135">
        <v>7985.75</v>
      </c>
    </row>
    <row r="446" spans="2:3" x14ac:dyDescent="0.3">
      <c r="B446" s="134">
        <v>42730</v>
      </c>
      <c r="C446" s="135">
        <v>7908.25</v>
      </c>
    </row>
    <row r="447" spans="2:3" x14ac:dyDescent="0.3">
      <c r="B447" s="134">
        <v>42731</v>
      </c>
      <c r="C447" s="135">
        <v>8032.85</v>
      </c>
    </row>
    <row r="448" spans="2:3" x14ac:dyDescent="0.3">
      <c r="B448" s="134">
        <v>42732</v>
      </c>
      <c r="C448" s="135">
        <v>8034.85</v>
      </c>
    </row>
    <row r="449" spans="2:3" x14ac:dyDescent="0.3">
      <c r="B449" s="134">
        <v>42733</v>
      </c>
      <c r="C449" s="135">
        <v>8103.6</v>
      </c>
    </row>
    <row r="450" spans="2:3" x14ac:dyDescent="0.3">
      <c r="B450" s="134">
        <v>42734</v>
      </c>
      <c r="C450" s="135">
        <v>8185.8</v>
      </c>
    </row>
    <row r="451" spans="2:3" x14ac:dyDescent="0.3">
      <c r="B451" s="134">
        <v>42737</v>
      </c>
      <c r="C451" s="135">
        <v>8179.5</v>
      </c>
    </row>
    <row r="452" spans="2:3" x14ac:dyDescent="0.3">
      <c r="B452" s="134">
        <v>42738</v>
      </c>
      <c r="C452" s="135">
        <v>8192.25</v>
      </c>
    </row>
    <row r="453" spans="2:3" x14ac:dyDescent="0.3">
      <c r="B453" s="134">
        <v>42739</v>
      </c>
      <c r="C453" s="135">
        <v>8190.5</v>
      </c>
    </row>
    <row r="454" spans="2:3" x14ac:dyDescent="0.3">
      <c r="B454" s="134">
        <v>42740</v>
      </c>
      <c r="C454" s="135">
        <v>8273.7999999999993</v>
      </c>
    </row>
    <row r="455" spans="2:3" x14ac:dyDescent="0.3">
      <c r="B455" s="134">
        <v>42741</v>
      </c>
      <c r="C455" s="135">
        <v>8243.7999999999993</v>
      </c>
    </row>
    <row r="456" spans="2:3" x14ac:dyDescent="0.3">
      <c r="B456" s="134">
        <v>42744</v>
      </c>
      <c r="C456" s="135">
        <v>8236.0499999999993</v>
      </c>
    </row>
    <row r="457" spans="2:3" x14ac:dyDescent="0.3">
      <c r="B457" s="134">
        <v>42745</v>
      </c>
      <c r="C457" s="135">
        <v>8288.6</v>
      </c>
    </row>
    <row r="458" spans="2:3" x14ac:dyDescent="0.3">
      <c r="B458" s="134">
        <v>42746</v>
      </c>
      <c r="C458" s="135">
        <v>8380.65</v>
      </c>
    </row>
    <row r="459" spans="2:3" x14ac:dyDescent="0.3">
      <c r="B459" s="134">
        <v>42747</v>
      </c>
      <c r="C459" s="135">
        <v>8407.2000000000007</v>
      </c>
    </row>
    <row r="460" spans="2:3" x14ac:dyDescent="0.3">
      <c r="B460" s="134">
        <v>42748</v>
      </c>
      <c r="C460" s="135">
        <v>8400.35</v>
      </c>
    </row>
    <row r="461" spans="2:3" x14ac:dyDescent="0.3">
      <c r="B461" s="134">
        <v>42751</v>
      </c>
      <c r="C461" s="135">
        <v>8412.7999999999993</v>
      </c>
    </row>
    <row r="462" spans="2:3" x14ac:dyDescent="0.3">
      <c r="B462" s="134">
        <v>42752</v>
      </c>
      <c r="C462" s="135">
        <v>8398</v>
      </c>
    </row>
    <row r="463" spans="2:3" x14ac:dyDescent="0.3">
      <c r="B463" s="134">
        <v>42753</v>
      </c>
      <c r="C463" s="135">
        <v>8417</v>
      </c>
    </row>
    <row r="464" spans="2:3" x14ac:dyDescent="0.3">
      <c r="B464" s="134">
        <v>42754</v>
      </c>
      <c r="C464" s="135">
        <v>8435.1</v>
      </c>
    </row>
    <row r="465" spans="2:3" x14ac:dyDescent="0.3">
      <c r="B465" s="134">
        <v>42755</v>
      </c>
      <c r="C465" s="135">
        <v>8349.35</v>
      </c>
    </row>
    <row r="466" spans="2:3" x14ac:dyDescent="0.3">
      <c r="B466" s="134">
        <v>42758</v>
      </c>
      <c r="C466" s="135">
        <v>8391.5</v>
      </c>
    </row>
    <row r="467" spans="2:3" x14ac:dyDescent="0.3">
      <c r="B467" s="134">
        <v>42759</v>
      </c>
      <c r="C467" s="135">
        <v>8475.7999999999993</v>
      </c>
    </row>
    <row r="468" spans="2:3" x14ac:dyDescent="0.3">
      <c r="B468" s="134">
        <v>42760</v>
      </c>
      <c r="C468" s="135">
        <v>8602.75</v>
      </c>
    </row>
    <row r="469" spans="2:3" x14ac:dyDescent="0.3">
      <c r="B469" s="134">
        <v>42762</v>
      </c>
      <c r="C469" s="135">
        <v>8641.25</v>
      </c>
    </row>
    <row r="470" spans="2:3" x14ac:dyDescent="0.3">
      <c r="B470" s="134">
        <v>42765</v>
      </c>
      <c r="C470" s="135">
        <v>8632.75</v>
      </c>
    </row>
    <row r="471" spans="2:3" x14ac:dyDescent="0.3">
      <c r="B471" s="134">
        <v>42766</v>
      </c>
      <c r="C471" s="135">
        <v>8561.2999999999993</v>
      </c>
    </row>
    <row r="472" spans="2:3" x14ac:dyDescent="0.3">
      <c r="B472" s="134">
        <v>42767</v>
      </c>
      <c r="C472" s="135">
        <v>8716.4</v>
      </c>
    </row>
    <row r="473" spans="2:3" x14ac:dyDescent="0.3">
      <c r="B473" s="134">
        <v>42768</v>
      </c>
      <c r="C473" s="135">
        <v>8734.25</v>
      </c>
    </row>
    <row r="474" spans="2:3" x14ac:dyDescent="0.3">
      <c r="B474" s="134">
        <v>42769</v>
      </c>
      <c r="C474" s="135">
        <v>8740.9500000000007</v>
      </c>
    </row>
    <row r="475" spans="2:3" x14ac:dyDescent="0.3">
      <c r="B475" s="134">
        <v>42772</v>
      </c>
      <c r="C475" s="135">
        <v>8801.0499999999993</v>
      </c>
    </row>
    <row r="476" spans="2:3" x14ac:dyDescent="0.3">
      <c r="B476" s="134">
        <v>42773</v>
      </c>
      <c r="C476" s="135">
        <v>8768.2999999999993</v>
      </c>
    </row>
    <row r="477" spans="2:3" x14ac:dyDescent="0.3">
      <c r="B477" s="134">
        <v>42774</v>
      </c>
      <c r="C477" s="135">
        <v>8769.0499999999993</v>
      </c>
    </row>
    <row r="478" spans="2:3" x14ac:dyDescent="0.3">
      <c r="B478" s="134">
        <v>42775</v>
      </c>
      <c r="C478" s="135">
        <v>8778.4</v>
      </c>
    </row>
    <row r="479" spans="2:3" x14ac:dyDescent="0.3">
      <c r="B479" s="134">
        <v>42776</v>
      </c>
      <c r="C479" s="135">
        <v>8793.5499999999993</v>
      </c>
    </row>
    <row r="480" spans="2:3" x14ac:dyDescent="0.3">
      <c r="B480" s="134">
        <v>42779</v>
      </c>
      <c r="C480" s="135">
        <v>8805.0499999999993</v>
      </c>
    </row>
    <row r="481" spans="2:3" x14ac:dyDescent="0.3">
      <c r="B481" s="134">
        <v>42780</v>
      </c>
      <c r="C481" s="135">
        <v>8792.2999999999993</v>
      </c>
    </row>
    <row r="482" spans="2:3" x14ac:dyDescent="0.3">
      <c r="B482" s="134">
        <v>42781</v>
      </c>
      <c r="C482" s="135">
        <v>8724.7000000000007</v>
      </c>
    </row>
    <row r="483" spans="2:3" x14ac:dyDescent="0.3">
      <c r="B483" s="134">
        <v>42782</v>
      </c>
      <c r="C483" s="135">
        <v>8778</v>
      </c>
    </row>
    <row r="484" spans="2:3" x14ac:dyDescent="0.3">
      <c r="B484" s="134">
        <v>42783</v>
      </c>
      <c r="C484" s="135">
        <v>8821.7000000000007</v>
      </c>
    </row>
    <row r="485" spans="2:3" x14ac:dyDescent="0.3">
      <c r="B485" s="134">
        <v>42786</v>
      </c>
      <c r="C485" s="135">
        <v>8879.2000000000007</v>
      </c>
    </row>
    <row r="486" spans="2:3" x14ac:dyDescent="0.3">
      <c r="B486" s="134">
        <v>42787</v>
      </c>
      <c r="C486" s="135">
        <v>8907.85</v>
      </c>
    </row>
    <row r="487" spans="2:3" x14ac:dyDescent="0.3">
      <c r="B487" s="134">
        <v>42788</v>
      </c>
      <c r="C487" s="135">
        <v>8926.9</v>
      </c>
    </row>
    <row r="488" spans="2:3" x14ac:dyDescent="0.3">
      <c r="B488" s="134">
        <v>42789</v>
      </c>
      <c r="C488" s="135">
        <v>8939.5</v>
      </c>
    </row>
    <row r="489" spans="2:3" x14ac:dyDescent="0.3">
      <c r="B489" s="134">
        <v>42793</v>
      </c>
      <c r="C489" s="135">
        <v>8896.7000000000007</v>
      </c>
    </row>
    <row r="490" spans="2:3" x14ac:dyDescent="0.3">
      <c r="B490" s="134">
        <v>42794</v>
      </c>
      <c r="C490" s="135">
        <v>8879.6</v>
      </c>
    </row>
    <row r="491" spans="2:3" x14ac:dyDescent="0.3">
      <c r="B491" s="134">
        <v>42795</v>
      </c>
      <c r="C491" s="135">
        <v>8945.7999999999993</v>
      </c>
    </row>
    <row r="492" spans="2:3" x14ac:dyDescent="0.3">
      <c r="B492" s="134">
        <v>42796</v>
      </c>
      <c r="C492" s="135">
        <v>8899.75</v>
      </c>
    </row>
    <row r="493" spans="2:3" x14ac:dyDescent="0.3">
      <c r="B493" s="134">
        <v>42797</v>
      </c>
      <c r="C493" s="135">
        <v>8897.5499999999993</v>
      </c>
    </row>
    <row r="494" spans="2:3" x14ac:dyDescent="0.3">
      <c r="B494" s="134">
        <v>42800</v>
      </c>
      <c r="C494" s="135">
        <v>8963.4500000000007</v>
      </c>
    </row>
    <row r="495" spans="2:3" x14ac:dyDescent="0.3">
      <c r="B495" s="134">
        <v>42801</v>
      </c>
      <c r="C495" s="135">
        <v>8946.9</v>
      </c>
    </row>
    <row r="496" spans="2:3" x14ac:dyDescent="0.3">
      <c r="B496" s="134">
        <v>42802</v>
      </c>
      <c r="C496" s="135">
        <v>8924.2999999999993</v>
      </c>
    </row>
    <row r="497" spans="2:3" x14ac:dyDescent="0.3">
      <c r="B497" s="134">
        <v>42803</v>
      </c>
      <c r="C497" s="135">
        <v>8927</v>
      </c>
    </row>
    <row r="498" spans="2:3" x14ac:dyDescent="0.3">
      <c r="B498" s="134">
        <v>42804</v>
      </c>
      <c r="C498" s="135">
        <v>8934.5499999999993</v>
      </c>
    </row>
    <row r="499" spans="2:3" x14ac:dyDescent="0.3">
      <c r="B499" s="134">
        <v>42808</v>
      </c>
      <c r="C499" s="135">
        <v>9087</v>
      </c>
    </row>
    <row r="500" spans="2:3" x14ac:dyDescent="0.3">
      <c r="B500" s="134">
        <v>42809</v>
      </c>
      <c r="C500" s="135">
        <v>9084.7999999999993</v>
      </c>
    </row>
    <row r="501" spans="2:3" x14ac:dyDescent="0.3">
      <c r="B501" s="134">
        <v>42810</v>
      </c>
      <c r="C501" s="135">
        <v>9153.7000000000007</v>
      </c>
    </row>
    <row r="502" spans="2:3" x14ac:dyDescent="0.3">
      <c r="B502" s="134">
        <v>42811</v>
      </c>
      <c r="C502" s="135">
        <v>9160.0499999999993</v>
      </c>
    </row>
    <row r="503" spans="2:3" x14ac:dyDescent="0.3">
      <c r="B503" s="134">
        <v>42814</v>
      </c>
      <c r="C503" s="135">
        <v>9126.85</v>
      </c>
    </row>
    <row r="504" spans="2:3" x14ac:dyDescent="0.3">
      <c r="B504" s="134">
        <v>42815</v>
      </c>
      <c r="C504" s="135">
        <v>9121.5</v>
      </c>
    </row>
    <row r="505" spans="2:3" x14ac:dyDescent="0.3">
      <c r="B505" s="134">
        <v>42816</v>
      </c>
      <c r="C505" s="135">
        <v>9030.4500000000007</v>
      </c>
    </row>
    <row r="506" spans="2:3" x14ac:dyDescent="0.3">
      <c r="B506" s="134">
        <v>42817</v>
      </c>
      <c r="C506" s="135">
        <v>9086.2999999999993</v>
      </c>
    </row>
    <row r="507" spans="2:3" x14ac:dyDescent="0.3">
      <c r="B507" s="134">
        <v>42818</v>
      </c>
      <c r="C507" s="135">
        <v>9108</v>
      </c>
    </row>
    <row r="508" spans="2:3" x14ac:dyDescent="0.3">
      <c r="B508" s="134">
        <v>42821</v>
      </c>
      <c r="C508" s="135">
        <v>9045.2000000000007</v>
      </c>
    </row>
    <row r="509" spans="2:3" x14ac:dyDescent="0.3">
      <c r="B509" s="134">
        <v>42822</v>
      </c>
      <c r="C509" s="135">
        <v>9100.7999999999993</v>
      </c>
    </row>
    <row r="510" spans="2:3" x14ac:dyDescent="0.3">
      <c r="B510" s="134">
        <v>42823</v>
      </c>
      <c r="C510" s="135">
        <v>9143.7999999999993</v>
      </c>
    </row>
    <row r="511" spans="2:3" x14ac:dyDescent="0.3">
      <c r="B511" s="134">
        <v>42824</v>
      </c>
      <c r="C511" s="135">
        <v>9173.75</v>
      </c>
    </row>
    <row r="512" spans="2:3" x14ac:dyDescent="0.3">
      <c r="B512" s="134">
        <v>42825</v>
      </c>
      <c r="C512" s="135">
        <v>9173.75</v>
      </c>
    </row>
    <row r="513" spans="2:3" x14ac:dyDescent="0.3">
      <c r="B513" s="134">
        <v>42828</v>
      </c>
      <c r="C513" s="135">
        <v>9237.85</v>
      </c>
    </row>
    <row r="514" spans="2:3" x14ac:dyDescent="0.3">
      <c r="B514" s="134">
        <v>42830</v>
      </c>
      <c r="C514" s="135">
        <v>9265.15</v>
      </c>
    </row>
    <row r="515" spans="2:3" x14ac:dyDescent="0.3">
      <c r="B515" s="134">
        <v>42831</v>
      </c>
      <c r="C515" s="135">
        <v>9261.9500000000007</v>
      </c>
    </row>
    <row r="516" spans="2:3" x14ac:dyDescent="0.3">
      <c r="B516" s="134">
        <v>42832</v>
      </c>
      <c r="C516" s="135">
        <v>9198.2999999999993</v>
      </c>
    </row>
    <row r="517" spans="2:3" x14ac:dyDescent="0.3">
      <c r="B517" s="134">
        <v>42835</v>
      </c>
      <c r="C517" s="135">
        <v>9181.4500000000007</v>
      </c>
    </row>
    <row r="518" spans="2:3" x14ac:dyDescent="0.3">
      <c r="B518" s="134">
        <v>42836</v>
      </c>
      <c r="C518" s="135">
        <v>9237</v>
      </c>
    </row>
    <row r="519" spans="2:3" x14ac:dyDescent="0.3">
      <c r="B519" s="134">
        <v>42837</v>
      </c>
      <c r="C519" s="135">
        <v>9203.4500000000007</v>
      </c>
    </row>
    <row r="520" spans="2:3" x14ac:dyDescent="0.3">
      <c r="B520" s="134">
        <v>42838</v>
      </c>
      <c r="C520" s="135">
        <v>9150.7999999999993</v>
      </c>
    </row>
    <row r="521" spans="2:3" x14ac:dyDescent="0.3">
      <c r="B521" s="134">
        <v>42842</v>
      </c>
      <c r="C521" s="135">
        <v>9139.2999999999993</v>
      </c>
    </row>
    <row r="522" spans="2:3" x14ac:dyDescent="0.3">
      <c r="B522" s="134">
        <v>42843</v>
      </c>
      <c r="C522" s="135">
        <v>9105.15</v>
      </c>
    </row>
    <row r="523" spans="2:3" x14ac:dyDescent="0.3">
      <c r="B523" s="134">
        <v>42844</v>
      </c>
      <c r="C523" s="135">
        <v>9103.5</v>
      </c>
    </row>
    <row r="524" spans="2:3" x14ac:dyDescent="0.3">
      <c r="B524" s="134">
        <v>42845</v>
      </c>
      <c r="C524" s="135">
        <v>9136.4</v>
      </c>
    </row>
    <row r="525" spans="2:3" x14ac:dyDescent="0.3">
      <c r="B525" s="134">
        <v>42846</v>
      </c>
      <c r="C525" s="135">
        <v>9119.4</v>
      </c>
    </row>
    <row r="526" spans="2:3" x14ac:dyDescent="0.3">
      <c r="B526" s="134">
        <v>42849</v>
      </c>
      <c r="C526" s="135">
        <v>9217.9500000000007</v>
      </c>
    </row>
    <row r="527" spans="2:3" x14ac:dyDescent="0.3">
      <c r="B527" s="134">
        <v>42850</v>
      </c>
      <c r="C527" s="135">
        <v>9306.6</v>
      </c>
    </row>
    <row r="528" spans="2:3" x14ac:dyDescent="0.3">
      <c r="B528" s="134">
        <v>42851</v>
      </c>
      <c r="C528" s="135">
        <v>9351.85</v>
      </c>
    </row>
    <row r="529" spans="2:3" x14ac:dyDescent="0.3">
      <c r="B529" s="134">
        <v>42852</v>
      </c>
      <c r="C529" s="135">
        <v>9342.15</v>
      </c>
    </row>
    <row r="530" spans="2:3" x14ac:dyDescent="0.3">
      <c r="B530" s="134">
        <v>42853</v>
      </c>
      <c r="C530" s="135">
        <v>9304.0499999999993</v>
      </c>
    </row>
    <row r="531" spans="2:3" x14ac:dyDescent="0.3">
      <c r="B531" s="134">
        <v>42857</v>
      </c>
      <c r="C531" s="135">
        <v>9313.7999999999993</v>
      </c>
    </row>
    <row r="532" spans="2:3" x14ac:dyDescent="0.3">
      <c r="B532" s="134">
        <v>42858</v>
      </c>
      <c r="C532" s="135">
        <v>9311.9500000000007</v>
      </c>
    </row>
    <row r="533" spans="2:3" x14ac:dyDescent="0.3">
      <c r="B533" s="134">
        <v>42859</v>
      </c>
      <c r="C533" s="135">
        <v>9359.9</v>
      </c>
    </row>
    <row r="534" spans="2:3" x14ac:dyDescent="0.3">
      <c r="B534" s="134">
        <v>42860</v>
      </c>
      <c r="C534" s="135">
        <v>9285.2999999999993</v>
      </c>
    </row>
    <row r="535" spans="2:3" x14ac:dyDescent="0.3">
      <c r="B535" s="134">
        <v>42863</v>
      </c>
      <c r="C535" s="135">
        <v>9314.0499999999993</v>
      </c>
    </row>
    <row r="536" spans="2:3" x14ac:dyDescent="0.3">
      <c r="B536" s="134">
        <v>42864</v>
      </c>
      <c r="C536" s="135">
        <v>9316.85</v>
      </c>
    </row>
    <row r="537" spans="2:3" x14ac:dyDescent="0.3">
      <c r="B537" s="134">
        <v>42865</v>
      </c>
      <c r="C537" s="135">
        <v>9407.2999999999993</v>
      </c>
    </row>
    <row r="538" spans="2:3" x14ac:dyDescent="0.3">
      <c r="B538" s="134">
        <v>42866</v>
      </c>
      <c r="C538" s="135">
        <v>9422.4</v>
      </c>
    </row>
    <row r="539" spans="2:3" x14ac:dyDescent="0.3">
      <c r="B539" s="134">
        <v>42867</v>
      </c>
      <c r="C539" s="135">
        <v>9400.9</v>
      </c>
    </row>
    <row r="540" spans="2:3" x14ac:dyDescent="0.3">
      <c r="B540" s="134">
        <v>42870</v>
      </c>
      <c r="C540" s="135">
        <v>9445.4</v>
      </c>
    </row>
    <row r="541" spans="2:3" x14ac:dyDescent="0.3">
      <c r="B541" s="134">
        <v>42871</v>
      </c>
      <c r="C541" s="135">
        <v>9512.25</v>
      </c>
    </row>
    <row r="542" spans="2:3" x14ac:dyDescent="0.3">
      <c r="B542" s="134">
        <v>42872</v>
      </c>
      <c r="C542" s="135">
        <v>9525.75</v>
      </c>
    </row>
    <row r="543" spans="2:3" x14ac:dyDescent="0.3">
      <c r="B543" s="134">
        <v>42873</v>
      </c>
      <c r="C543" s="135">
        <v>9429.4500000000007</v>
      </c>
    </row>
    <row r="544" spans="2:3" x14ac:dyDescent="0.3">
      <c r="B544" s="134">
        <v>42874</v>
      </c>
      <c r="C544" s="135">
        <v>9427.9</v>
      </c>
    </row>
    <row r="545" spans="2:3" x14ac:dyDescent="0.3">
      <c r="B545" s="134">
        <v>42877</v>
      </c>
      <c r="C545" s="135">
        <v>9438.25</v>
      </c>
    </row>
    <row r="546" spans="2:3" x14ac:dyDescent="0.3">
      <c r="B546" s="134">
        <v>42878</v>
      </c>
      <c r="C546" s="135">
        <v>9386.15</v>
      </c>
    </row>
    <row r="547" spans="2:3" x14ac:dyDescent="0.3">
      <c r="B547" s="134">
        <v>42879</v>
      </c>
      <c r="C547" s="135">
        <v>9360.5499999999993</v>
      </c>
    </row>
    <row r="548" spans="2:3" x14ac:dyDescent="0.3">
      <c r="B548" s="134">
        <v>42880</v>
      </c>
      <c r="C548" s="135">
        <v>9509.75</v>
      </c>
    </row>
    <row r="549" spans="2:3" x14ac:dyDescent="0.3">
      <c r="B549" s="134">
        <v>42881</v>
      </c>
      <c r="C549" s="135">
        <v>9595.1</v>
      </c>
    </row>
    <row r="550" spans="2:3" x14ac:dyDescent="0.3">
      <c r="B550" s="134">
        <v>42884</v>
      </c>
      <c r="C550" s="135">
        <v>9604.9</v>
      </c>
    </row>
    <row r="551" spans="2:3" x14ac:dyDescent="0.3">
      <c r="B551" s="134">
        <v>42885</v>
      </c>
      <c r="C551" s="135">
        <v>9624.5499999999993</v>
      </c>
    </row>
    <row r="552" spans="2:3" x14ac:dyDescent="0.3">
      <c r="B552" s="134">
        <v>42886</v>
      </c>
      <c r="C552" s="135">
        <v>9621.25</v>
      </c>
    </row>
    <row r="553" spans="2:3" x14ac:dyDescent="0.3">
      <c r="B553" s="134">
        <v>42887</v>
      </c>
      <c r="C553" s="135">
        <v>9616.1</v>
      </c>
    </row>
    <row r="554" spans="2:3" x14ac:dyDescent="0.3">
      <c r="B554" s="134">
        <v>42888</v>
      </c>
      <c r="C554" s="135">
        <v>9653.5</v>
      </c>
    </row>
    <row r="555" spans="2:3" x14ac:dyDescent="0.3">
      <c r="B555" s="134">
        <v>42891</v>
      </c>
      <c r="C555" s="135">
        <v>9675.1</v>
      </c>
    </row>
    <row r="556" spans="2:3" x14ac:dyDescent="0.3">
      <c r="B556" s="134">
        <v>42892</v>
      </c>
      <c r="C556" s="135">
        <v>9637.15</v>
      </c>
    </row>
    <row r="557" spans="2:3" x14ac:dyDescent="0.3">
      <c r="B557" s="134">
        <v>42893</v>
      </c>
      <c r="C557" s="135">
        <v>9663.9</v>
      </c>
    </row>
    <row r="558" spans="2:3" x14ac:dyDescent="0.3">
      <c r="B558" s="134">
        <v>42894</v>
      </c>
      <c r="C558" s="135">
        <v>9647.25</v>
      </c>
    </row>
    <row r="559" spans="2:3" x14ac:dyDescent="0.3">
      <c r="B559" s="134">
        <v>42895</v>
      </c>
      <c r="C559" s="135">
        <v>9668.25</v>
      </c>
    </row>
    <row r="560" spans="2:3" x14ac:dyDescent="0.3">
      <c r="B560" s="134">
        <v>42898</v>
      </c>
      <c r="C560" s="135">
        <v>9616.4</v>
      </c>
    </row>
    <row r="561" spans="2:3" x14ac:dyDescent="0.3">
      <c r="B561" s="134">
        <v>42899</v>
      </c>
      <c r="C561" s="135">
        <v>9606.9</v>
      </c>
    </row>
    <row r="562" spans="2:3" x14ac:dyDescent="0.3">
      <c r="B562" s="134">
        <v>42900</v>
      </c>
      <c r="C562" s="135">
        <v>9618.15</v>
      </c>
    </row>
    <row r="563" spans="2:3" x14ac:dyDescent="0.3">
      <c r="B563" s="134">
        <v>42901</v>
      </c>
      <c r="C563" s="135">
        <v>9578.0499999999993</v>
      </c>
    </row>
    <row r="564" spans="2:3" x14ac:dyDescent="0.3">
      <c r="B564" s="134">
        <v>42902</v>
      </c>
      <c r="C564" s="135">
        <v>9588.0499999999993</v>
      </c>
    </row>
    <row r="565" spans="2:3" x14ac:dyDescent="0.3">
      <c r="B565" s="134">
        <v>42905</v>
      </c>
      <c r="C565" s="135">
        <v>9657.5499999999993</v>
      </c>
    </row>
    <row r="566" spans="2:3" x14ac:dyDescent="0.3">
      <c r="B566" s="134">
        <v>42906</v>
      </c>
      <c r="C566" s="135">
        <v>9653.5</v>
      </c>
    </row>
    <row r="567" spans="2:3" x14ac:dyDescent="0.3">
      <c r="B567" s="134">
        <v>42907</v>
      </c>
      <c r="C567" s="135">
        <v>9633.6</v>
      </c>
    </row>
    <row r="568" spans="2:3" x14ac:dyDescent="0.3">
      <c r="B568" s="134">
        <v>42908</v>
      </c>
      <c r="C568" s="135">
        <v>9630</v>
      </c>
    </row>
    <row r="569" spans="2:3" x14ac:dyDescent="0.3">
      <c r="B569" s="134">
        <v>42909</v>
      </c>
      <c r="C569" s="135">
        <v>9574.9500000000007</v>
      </c>
    </row>
    <row r="570" spans="2:3" x14ac:dyDescent="0.3">
      <c r="B570" s="134">
        <v>42913</v>
      </c>
      <c r="C570" s="135">
        <v>9511.4</v>
      </c>
    </row>
    <row r="571" spans="2:3" x14ac:dyDescent="0.3">
      <c r="B571" s="134">
        <v>42914</v>
      </c>
      <c r="C571" s="135">
        <v>9491.25</v>
      </c>
    </row>
    <row r="572" spans="2:3" x14ac:dyDescent="0.3">
      <c r="B572" s="134">
        <v>42915</v>
      </c>
      <c r="C572" s="135">
        <v>9504.1</v>
      </c>
    </row>
    <row r="573" spans="2:3" x14ac:dyDescent="0.3">
      <c r="B573" s="134">
        <v>42916</v>
      </c>
      <c r="C573" s="135">
        <v>9520.9</v>
      </c>
    </row>
    <row r="574" spans="2:3" x14ac:dyDescent="0.3">
      <c r="B574" s="134">
        <v>42919</v>
      </c>
      <c r="C574" s="135">
        <v>9615</v>
      </c>
    </row>
    <row r="575" spans="2:3" x14ac:dyDescent="0.3">
      <c r="B575" s="134">
        <v>42920</v>
      </c>
      <c r="C575" s="135">
        <v>9613.2999999999993</v>
      </c>
    </row>
    <row r="576" spans="2:3" x14ac:dyDescent="0.3">
      <c r="B576" s="134">
        <v>42921</v>
      </c>
      <c r="C576" s="135">
        <v>9637.6</v>
      </c>
    </row>
    <row r="577" spans="2:3" x14ac:dyDescent="0.3">
      <c r="B577" s="134">
        <v>42922</v>
      </c>
      <c r="C577" s="135">
        <v>9674.5499999999993</v>
      </c>
    </row>
    <row r="578" spans="2:3" x14ac:dyDescent="0.3">
      <c r="B578" s="134">
        <v>42923</v>
      </c>
      <c r="C578" s="135">
        <v>9665.7999999999993</v>
      </c>
    </row>
    <row r="579" spans="2:3" x14ac:dyDescent="0.3">
      <c r="B579" s="134">
        <v>42926</v>
      </c>
      <c r="C579" s="135">
        <v>9771.0499999999993</v>
      </c>
    </row>
    <row r="580" spans="2:3" x14ac:dyDescent="0.3">
      <c r="B580" s="134">
        <v>42927</v>
      </c>
      <c r="C580" s="135">
        <v>9786.0499999999993</v>
      </c>
    </row>
    <row r="581" spans="2:3" x14ac:dyDescent="0.3">
      <c r="B581" s="134">
        <v>42928</v>
      </c>
      <c r="C581" s="135">
        <v>9816.1</v>
      </c>
    </row>
    <row r="582" spans="2:3" x14ac:dyDescent="0.3">
      <c r="B582" s="134">
        <v>42929</v>
      </c>
      <c r="C582" s="135">
        <v>9891.7000000000007</v>
      </c>
    </row>
    <row r="583" spans="2:3" x14ac:dyDescent="0.3">
      <c r="B583" s="134">
        <v>42930</v>
      </c>
      <c r="C583" s="135">
        <v>9886.35</v>
      </c>
    </row>
    <row r="584" spans="2:3" x14ac:dyDescent="0.3">
      <c r="B584" s="134">
        <v>42933</v>
      </c>
      <c r="C584" s="135">
        <v>9915.9500000000007</v>
      </c>
    </row>
    <row r="585" spans="2:3" x14ac:dyDescent="0.3">
      <c r="B585" s="134">
        <v>42934</v>
      </c>
      <c r="C585" s="135">
        <v>9827.15</v>
      </c>
    </row>
    <row r="586" spans="2:3" x14ac:dyDescent="0.3">
      <c r="B586" s="134">
        <v>42935</v>
      </c>
      <c r="C586" s="135">
        <v>9899.6</v>
      </c>
    </row>
    <row r="587" spans="2:3" x14ac:dyDescent="0.3">
      <c r="B587" s="134">
        <v>42936</v>
      </c>
      <c r="C587" s="135">
        <v>9873.2999999999993</v>
      </c>
    </row>
    <row r="588" spans="2:3" x14ac:dyDescent="0.3">
      <c r="B588" s="134">
        <v>42937</v>
      </c>
      <c r="C588" s="135">
        <v>9915.25</v>
      </c>
    </row>
    <row r="589" spans="2:3" x14ac:dyDescent="0.3">
      <c r="B589" s="134">
        <v>42940</v>
      </c>
      <c r="C589" s="135">
        <v>9966.4</v>
      </c>
    </row>
    <row r="590" spans="2:3" x14ac:dyDescent="0.3">
      <c r="B590" s="134">
        <v>42941</v>
      </c>
      <c r="C590" s="135">
        <v>9964.5499999999993</v>
      </c>
    </row>
    <row r="591" spans="2:3" x14ac:dyDescent="0.3">
      <c r="B591" s="134">
        <v>42942</v>
      </c>
      <c r="C591" s="135">
        <v>10020.65</v>
      </c>
    </row>
    <row r="592" spans="2:3" x14ac:dyDescent="0.3">
      <c r="B592" s="134">
        <v>42943</v>
      </c>
      <c r="C592" s="135">
        <v>10020.549999999999</v>
      </c>
    </row>
    <row r="593" spans="2:3" x14ac:dyDescent="0.3">
      <c r="B593" s="134">
        <v>42944</v>
      </c>
      <c r="C593" s="135">
        <v>10014.5</v>
      </c>
    </row>
    <row r="594" spans="2:3" x14ac:dyDescent="0.3">
      <c r="B594" s="134">
        <v>42947</v>
      </c>
      <c r="C594" s="135">
        <v>10077.1</v>
      </c>
    </row>
    <row r="595" spans="2:3" x14ac:dyDescent="0.3">
      <c r="B595" s="134">
        <v>42948</v>
      </c>
      <c r="C595" s="135">
        <v>10114.65</v>
      </c>
    </row>
    <row r="596" spans="2:3" x14ac:dyDescent="0.3">
      <c r="B596" s="134">
        <v>42949</v>
      </c>
      <c r="C596" s="135">
        <v>10081.5</v>
      </c>
    </row>
    <row r="597" spans="2:3" x14ac:dyDescent="0.3">
      <c r="B597" s="134">
        <v>42950</v>
      </c>
      <c r="C597" s="135">
        <v>10013.65</v>
      </c>
    </row>
    <row r="598" spans="2:3" x14ac:dyDescent="0.3">
      <c r="B598" s="134">
        <v>42951</v>
      </c>
      <c r="C598" s="135">
        <v>10066.4</v>
      </c>
    </row>
    <row r="599" spans="2:3" x14ac:dyDescent="0.3">
      <c r="B599" s="134">
        <v>42954</v>
      </c>
      <c r="C599" s="135">
        <v>10057.4</v>
      </c>
    </row>
    <row r="600" spans="2:3" x14ac:dyDescent="0.3">
      <c r="B600" s="134">
        <v>42955</v>
      </c>
      <c r="C600" s="135">
        <v>9978.5499999999993</v>
      </c>
    </row>
    <row r="601" spans="2:3" x14ac:dyDescent="0.3">
      <c r="B601" s="134">
        <v>42956</v>
      </c>
      <c r="C601" s="135">
        <v>9908.0499999999993</v>
      </c>
    </row>
    <row r="602" spans="2:3" x14ac:dyDescent="0.3">
      <c r="B602" s="134">
        <v>42957</v>
      </c>
      <c r="C602" s="135">
        <v>9820.25</v>
      </c>
    </row>
    <row r="603" spans="2:3" x14ac:dyDescent="0.3">
      <c r="B603" s="134">
        <v>42958</v>
      </c>
      <c r="C603" s="135">
        <v>9710.7999999999993</v>
      </c>
    </row>
    <row r="604" spans="2:3" x14ac:dyDescent="0.3">
      <c r="B604" s="134">
        <v>42961</v>
      </c>
      <c r="C604" s="135">
        <v>9794.15</v>
      </c>
    </row>
    <row r="605" spans="2:3" x14ac:dyDescent="0.3">
      <c r="B605" s="134">
        <v>42963</v>
      </c>
      <c r="C605" s="135">
        <v>9897.2999999999993</v>
      </c>
    </row>
    <row r="606" spans="2:3" x14ac:dyDescent="0.3">
      <c r="B606" s="134">
        <v>42964</v>
      </c>
      <c r="C606" s="135">
        <v>9904.15</v>
      </c>
    </row>
    <row r="607" spans="2:3" x14ac:dyDescent="0.3">
      <c r="B607" s="134">
        <v>42965</v>
      </c>
      <c r="C607" s="135">
        <v>9837.4</v>
      </c>
    </row>
    <row r="608" spans="2:3" x14ac:dyDescent="0.3">
      <c r="B608" s="134">
        <v>42968</v>
      </c>
      <c r="C608" s="135">
        <v>9754.35</v>
      </c>
    </row>
    <row r="609" spans="2:3" x14ac:dyDescent="0.3">
      <c r="B609" s="134">
        <v>42969</v>
      </c>
      <c r="C609" s="135">
        <v>9765.5499999999993</v>
      </c>
    </row>
    <row r="610" spans="2:3" x14ac:dyDescent="0.3">
      <c r="B610" s="134">
        <v>42970</v>
      </c>
      <c r="C610" s="135">
        <v>9852.5</v>
      </c>
    </row>
    <row r="611" spans="2:3" x14ac:dyDescent="0.3">
      <c r="B611" s="134">
        <v>42971</v>
      </c>
      <c r="C611" s="135">
        <v>9857.0499999999993</v>
      </c>
    </row>
    <row r="612" spans="2:3" x14ac:dyDescent="0.3">
      <c r="B612" s="134">
        <v>42975</v>
      </c>
      <c r="C612" s="135">
        <v>9912.7999999999993</v>
      </c>
    </row>
    <row r="613" spans="2:3" x14ac:dyDescent="0.3">
      <c r="B613" s="134">
        <v>42976</v>
      </c>
      <c r="C613" s="135">
        <v>9796.0499999999993</v>
      </c>
    </row>
    <row r="614" spans="2:3" x14ac:dyDescent="0.3">
      <c r="B614" s="134">
        <v>42977</v>
      </c>
      <c r="C614" s="135">
        <v>9884.4</v>
      </c>
    </row>
    <row r="615" spans="2:3" x14ac:dyDescent="0.3">
      <c r="B615" s="134">
        <v>42978</v>
      </c>
      <c r="C615" s="135">
        <v>9917.9</v>
      </c>
    </row>
    <row r="616" spans="2:3" x14ac:dyDescent="0.3">
      <c r="B616" s="134">
        <v>42979</v>
      </c>
      <c r="C616" s="135">
        <v>9974.4</v>
      </c>
    </row>
    <row r="617" spans="2:3" x14ac:dyDescent="0.3">
      <c r="B617" s="134">
        <v>42982</v>
      </c>
      <c r="C617" s="135">
        <v>9912.85</v>
      </c>
    </row>
    <row r="618" spans="2:3" x14ac:dyDescent="0.3">
      <c r="B618" s="134">
        <v>42983</v>
      </c>
      <c r="C618" s="135">
        <v>9952.2000000000007</v>
      </c>
    </row>
    <row r="619" spans="2:3" x14ac:dyDescent="0.3">
      <c r="B619" s="134">
        <v>42984</v>
      </c>
      <c r="C619" s="135">
        <v>9916.2000000000007</v>
      </c>
    </row>
    <row r="620" spans="2:3" x14ac:dyDescent="0.3">
      <c r="B620" s="134">
        <v>42985</v>
      </c>
      <c r="C620" s="135">
        <v>9929.9</v>
      </c>
    </row>
    <row r="621" spans="2:3" x14ac:dyDescent="0.3">
      <c r="B621" s="134">
        <v>42986</v>
      </c>
      <c r="C621" s="135">
        <v>9934.7999999999993</v>
      </c>
    </row>
    <row r="622" spans="2:3" x14ac:dyDescent="0.3">
      <c r="B622" s="134">
        <v>42989</v>
      </c>
      <c r="C622" s="135">
        <v>10006.049999999999</v>
      </c>
    </row>
    <row r="623" spans="2:3" x14ac:dyDescent="0.3">
      <c r="B623" s="134">
        <v>42990</v>
      </c>
      <c r="C623" s="135">
        <v>10093.049999999999</v>
      </c>
    </row>
    <row r="624" spans="2:3" x14ac:dyDescent="0.3">
      <c r="B624" s="134">
        <v>42991</v>
      </c>
      <c r="C624" s="135">
        <v>10079.299999999999</v>
      </c>
    </row>
    <row r="625" spans="2:3" x14ac:dyDescent="0.3">
      <c r="B625" s="134">
        <v>42992</v>
      </c>
      <c r="C625" s="135">
        <v>10086.6</v>
      </c>
    </row>
    <row r="626" spans="2:3" x14ac:dyDescent="0.3">
      <c r="B626" s="134">
        <v>42993</v>
      </c>
      <c r="C626" s="135">
        <v>10085.4</v>
      </c>
    </row>
    <row r="627" spans="2:3" x14ac:dyDescent="0.3">
      <c r="B627" s="134">
        <v>42996</v>
      </c>
      <c r="C627" s="135">
        <v>10153.1</v>
      </c>
    </row>
    <row r="628" spans="2:3" x14ac:dyDescent="0.3">
      <c r="B628" s="134">
        <v>42997</v>
      </c>
      <c r="C628" s="135">
        <v>10147.549999999999</v>
      </c>
    </row>
    <row r="629" spans="2:3" x14ac:dyDescent="0.3">
      <c r="B629" s="134">
        <v>42998</v>
      </c>
      <c r="C629" s="135">
        <v>10141.15</v>
      </c>
    </row>
    <row r="630" spans="2:3" x14ac:dyDescent="0.3">
      <c r="B630" s="134">
        <v>42999</v>
      </c>
      <c r="C630" s="135">
        <v>10121.9</v>
      </c>
    </row>
    <row r="631" spans="2:3" x14ac:dyDescent="0.3">
      <c r="B631" s="134">
        <v>43000</v>
      </c>
      <c r="C631" s="135">
        <v>9964.4</v>
      </c>
    </row>
    <row r="632" spans="2:3" x14ac:dyDescent="0.3">
      <c r="B632" s="134">
        <v>43003</v>
      </c>
      <c r="C632" s="135">
        <v>9872.6</v>
      </c>
    </row>
    <row r="633" spans="2:3" x14ac:dyDescent="0.3">
      <c r="B633" s="134">
        <v>43004</v>
      </c>
      <c r="C633" s="135">
        <v>9871.5</v>
      </c>
    </row>
    <row r="634" spans="2:3" x14ac:dyDescent="0.3">
      <c r="B634" s="134">
        <v>43005</v>
      </c>
      <c r="C634" s="135">
        <v>9735.75</v>
      </c>
    </row>
    <row r="635" spans="2:3" x14ac:dyDescent="0.3">
      <c r="B635" s="134">
        <v>43006</v>
      </c>
      <c r="C635" s="135">
        <v>9768.9500000000007</v>
      </c>
    </row>
    <row r="636" spans="2:3" x14ac:dyDescent="0.3">
      <c r="B636" s="134">
        <v>43007</v>
      </c>
      <c r="C636" s="135">
        <v>9788.6</v>
      </c>
    </row>
    <row r="637" spans="2:3" x14ac:dyDescent="0.3">
      <c r="B637" s="134">
        <v>43011</v>
      </c>
      <c r="C637" s="135">
        <v>9859.5</v>
      </c>
    </row>
    <row r="638" spans="2:3" x14ac:dyDescent="0.3">
      <c r="B638" s="134">
        <v>43012</v>
      </c>
      <c r="C638" s="135">
        <v>9914.9</v>
      </c>
    </row>
    <row r="639" spans="2:3" x14ac:dyDescent="0.3">
      <c r="B639" s="134">
        <v>43013</v>
      </c>
      <c r="C639" s="135">
        <v>9888.7000000000007</v>
      </c>
    </row>
    <row r="640" spans="2:3" x14ac:dyDescent="0.3">
      <c r="B640" s="134">
        <v>43014</v>
      </c>
      <c r="C640" s="135">
        <v>9979.7000000000007</v>
      </c>
    </row>
    <row r="641" spans="2:3" x14ac:dyDescent="0.3">
      <c r="B641" s="134">
        <v>43017</v>
      </c>
      <c r="C641" s="135">
        <v>9988.75</v>
      </c>
    </row>
    <row r="642" spans="2:3" x14ac:dyDescent="0.3">
      <c r="B642" s="134">
        <v>43018</v>
      </c>
      <c r="C642" s="135">
        <v>10016.950000000001</v>
      </c>
    </row>
    <row r="643" spans="2:3" x14ac:dyDescent="0.3">
      <c r="B643" s="134">
        <v>43019</v>
      </c>
      <c r="C643" s="135">
        <v>9984.7999999999993</v>
      </c>
    </row>
    <row r="644" spans="2:3" x14ac:dyDescent="0.3">
      <c r="B644" s="134">
        <v>43020</v>
      </c>
      <c r="C644" s="135">
        <v>10096.4</v>
      </c>
    </row>
    <row r="645" spans="2:3" x14ac:dyDescent="0.3">
      <c r="B645" s="134">
        <v>43021</v>
      </c>
      <c r="C645" s="135">
        <v>10167.450000000001</v>
      </c>
    </row>
    <row r="646" spans="2:3" x14ac:dyDescent="0.3">
      <c r="B646" s="134">
        <v>43024</v>
      </c>
      <c r="C646" s="135">
        <v>10230.85</v>
      </c>
    </row>
    <row r="647" spans="2:3" x14ac:dyDescent="0.3">
      <c r="B647" s="134">
        <v>43025</v>
      </c>
      <c r="C647" s="135">
        <v>10234.450000000001</v>
      </c>
    </row>
    <row r="648" spans="2:3" x14ac:dyDescent="0.3">
      <c r="B648" s="134">
        <v>43026</v>
      </c>
      <c r="C648" s="135">
        <v>10210.85</v>
      </c>
    </row>
    <row r="649" spans="2:3" x14ac:dyDescent="0.3">
      <c r="B649" s="134">
        <v>43027</v>
      </c>
      <c r="C649" s="135">
        <v>10146.549999999999</v>
      </c>
    </row>
    <row r="650" spans="2:3" x14ac:dyDescent="0.3">
      <c r="B650" s="134">
        <v>43031</v>
      </c>
      <c r="C650" s="135">
        <v>10184.85</v>
      </c>
    </row>
    <row r="651" spans="2:3" x14ac:dyDescent="0.3">
      <c r="B651" s="134">
        <v>43032</v>
      </c>
      <c r="C651" s="135">
        <v>10207.700000000001</v>
      </c>
    </row>
    <row r="652" spans="2:3" x14ac:dyDescent="0.3">
      <c r="B652" s="134">
        <v>43033</v>
      </c>
      <c r="C652" s="135">
        <v>10295.35</v>
      </c>
    </row>
    <row r="653" spans="2:3" x14ac:dyDescent="0.3">
      <c r="B653" s="134">
        <v>43034</v>
      </c>
      <c r="C653" s="135">
        <v>10343.799999999999</v>
      </c>
    </row>
    <row r="654" spans="2:3" x14ac:dyDescent="0.3">
      <c r="B654" s="134">
        <v>43035</v>
      </c>
      <c r="C654" s="135">
        <v>10323.049999999999</v>
      </c>
    </row>
    <row r="655" spans="2:3" x14ac:dyDescent="0.3">
      <c r="B655" s="134">
        <v>43038</v>
      </c>
      <c r="C655" s="135">
        <v>10363.65</v>
      </c>
    </row>
    <row r="656" spans="2:3" x14ac:dyDescent="0.3">
      <c r="B656" s="134">
        <v>43039</v>
      </c>
      <c r="C656" s="135">
        <v>10335.299999999999</v>
      </c>
    </row>
    <row r="657" spans="2:3" x14ac:dyDescent="0.3">
      <c r="B657" s="134">
        <v>43040</v>
      </c>
      <c r="C657" s="135">
        <v>10440.5</v>
      </c>
    </row>
    <row r="658" spans="2:3" x14ac:dyDescent="0.3">
      <c r="B658" s="134">
        <v>43041</v>
      </c>
      <c r="C658" s="135">
        <v>10423.799999999999</v>
      </c>
    </row>
    <row r="659" spans="2:3" x14ac:dyDescent="0.3">
      <c r="B659" s="134">
        <v>43042</v>
      </c>
      <c r="C659" s="135">
        <v>10452.5</v>
      </c>
    </row>
    <row r="660" spans="2:3" x14ac:dyDescent="0.3">
      <c r="B660" s="134">
        <v>43045</v>
      </c>
      <c r="C660" s="135">
        <v>10451.799999999999</v>
      </c>
    </row>
    <row r="661" spans="2:3" x14ac:dyDescent="0.3">
      <c r="B661" s="134">
        <v>43046</v>
      </c>
      <c r="C661" s="135">
        <v>10350.15</v>
      </c>
    </row>
    <row r="662" spans="2:3" x14ac:dyDescent="0.3">
      <c r="B662" s="134">
        <v>43047</v>
      </c>
      <c r="C662" s="135">
        <v>10303.15</v>
      </c>
    </row>
    <row r="663" spans="2:3" x14ac:dyDescent="0.3">
      <c r="B663" s="134">
        <v>43048</v>
      </c>
      <c r="C663" s="135">
        <v>10308.950000000001</v>
      </c>
    </row>
    <row r="664" spans="2:3" x14ac:dyDescent="0.3">
      <c r="B664" s="134">
        <v>43049</v>
      </c>
      <c r="C664" s="135">
        <v>10321.75</v>
      </c>
    </row>
    <row r="665" spans="2:3" x14ac:dyDescent="0.3">
      <c r="B665" s="134">
        <v>43052</v>
      </c>
      <c r="C665" s="135">
        <v>10224.950000000001</v>
      </c>
    </row>
    <row r="666" spans="2:3" x14ac:dyDescent="0.3">
      <c r="B666" s="134">
        <v>43053</v>
      </c>
      <c r="C666" s="135">
        <v>10186.6</v>
      </c>
    </row>
    <row r="667" spans="2:3" x14ac:dyDescent="0.3">
      <c r="B667" s="134">
        <v>43054</v>
      </c>
      <c r="C667" s="135">
        <v>10118.049999999999</v>
      </c>
    </row>
    <row r="668" spans="2:3" x14ac:dyDescent="0.3">
      <c r="B668" s="134">
        <v>43055</v>
      </c>
      <c r="C668" s="135">
        <v>10214.75</v>
      </c>
    </row>
    <row r="669" spans="2:3" x14ac:dyDescent="0.3">
      <c r="B669" s="134">
        <v>43056</v>
      </c>
      <c r="C669" s="135">
        <v>10283.6</v>
      </c>
    </row>
    <row r="670" spans="2:3" x14ac:dyDescent="0.3">
      <c r="B670" s="134">
        <v>43059</v>
      </c>
      <c r="C670" s="135">
        <v>10298.75</v>
      </c>
    </row>
    <row r="671" spans="2:3" x14ac:dyDescent="0.3">
      <c r="B671" s="134">
        <v>43060</v>
      </c>
      <c r="C671" s="135">
        <v>10326.9</v>
      </c>
    </row>
    <row r="672" spans="2:3" x14ac:dyDescent="0.3">
      <c r="B672" s="134">
        <v>43061</v>
      </c>
      <c r="C672" s="135">
        <v>10342.299999999999</v>
      </c>
    </row>
    <row r="673" spans="2:3" x14ac:dyDescent="0.3">
      <c r="B673" s="134">
        <v>43062</v>
      </c>
      <c r="C673" s="135">
        <v>10348.75</v>
      </c>
    </row>
    <row r="674" spans="2:3" x14ac:dyDescent="0.3">
      <c r="B674" s="134">
        <v>43063</v>
      </c>
      <c r="C674" s="135">
        <v>10389.700000000001</v>
      </c>
    </row>
    <row r="675" spans="2:3" x14ac:dyDescent="0.3">
      <c r="B675" s="134">
        <v>43066</v>
      </c>
      <c r="C675" s="135">
        <v>10399.549999999999</v>
      </c>
    </row>
    <row r="676" spans="2:3" x14ac:dyDescent="0.3">
      <c r="B676" s="134">
        <v>43067</v>
      </c>
      <c r="C676" s="135">
        <v>10370.25</v>
      </c>
    </row>
    <row r="677" spans="2:3" x14ac:dyDescent="0.3">
      <c r="B677" s="134">
        <v>43068</v>
      </c>
      <c r="C677" s="135">
        <v>10361.299999999999</v>
      </c>
    </row>
    <row r="678" spans="2:3" x14ac:dyDescent="0.3">
      <c r="B678" s="134">
        <v>43069</v>
      </c>
      <c r="C678" s="135">
        <v>10226.549999999999</v>
      </c>
    </row>
    <row r="679" spans="2:3" x14ac:dyDescent="0.3">
      <c r="B679" s="134">
        <v>43070</v>
      </c>
      <c r="C679" s="135">
        <v>10121.799999999999</v>
      </c>
    </row>
    <row r="680" spans="2:3" x14ac:dyDescent="0.3">
      <c r="B680" s="134">
        <v>43073</v>
      </c>
      <c r="C680" s="135">
        <v>10127.75</v>
      </c>
    </row>
    <row r="681" spans="2:3" x14ac:dyDescent="0.3">
      <c r="B681" s="134">
        <v>43074</v>
      </c>
      <c r="C681" s="135">
        <v>10118.25</v>
      </c>
    </row>
    <row r="682" spans="2:3" x14ac:dyDescent="0.3">
      <c r="B682" s="134">
        <v>43075</v>
      </c>
      <c r="C682" s="135">
        <v>10044.1</v>
      </c>
    </row>
    <row r="683" spans="2:3" x14ac:dyDescent="0.3">
      <c r="B683" s="134">
        <v>43076</v>
      </c>
      <c r="C683" s="135">
        <v>10166.700000000001</v>
      </c>
    </row>
    <row r="684" spans="2:3" x14ac:dyDescent="0.3">
      <c r="B684" s="134">
        <v>43077</v>
      </c>
      <c r="C684" s="135">
        <v>10265.65</v>
      </c>
    </row>
    <row r="685" spans="2:3" x14ac:dyDescent="0.3">
      <c r="B685" s="134">
        <v>43080</v>
      </c>
      <c r="C685" s="135">
        <v>10322.25</v>
      </c>
    </row>
    <row r="686" spans="2:3" x14ac:dyDescent="0.3">
      <c r="B686" s="134">
        <v>43081</v>
      </c>
      <c r="C686" s="135">
        <v>10240.15</v>
      </c>
    </row>
    <row r="687" spans="2:3" x14ac:dyDescent="0.3">
      <c r="B687" s="134">
        <v>43082</v>
      </c>
      <c r="C687" s="135">
        <v>10192.950000000001</v>
      </c>
    </row>
    <row r="688" spans="2:3" x14ac:dyDescent="0.3">
      <c r="B688" s="134">
        <v>43083</v>
      </c>
      <c r="C688" s="135">
        <v>10252.1</v>
      </c>
    </row>
    <row r="689" spans="2:3" x14ac:dyDescent="0.3">
      <c r="B689" s="134">
        <v>43084</v>
      </c>
      <c r="C689" s="135">
        <v>10333.25</v>
      </c>
    </row>
    <row r="690" spans="2:3" x14ac:dyDescent="0.3">
      <c r="B690" s="134">
        <v>43087</v>
      </c>
      <c r="C690" s="135">
        <v>10388.75</v>
      </c>
    </row>
    <row r="691" spans="2:3" x14ac:dyDescent="0.3">
      <c r="B691" s="134">
        <v>43088</v>
      </c>
      <c r="C691" s="135">
        <v>10463.200000000001</v>
      </c>
    </row>
    <row r="692" spans="2:3" x14ac:dyDescent="0.3">
      <c r="B692" s="134">
        <v>43089</v>
      </c>
      <c r="C692" s="135">
        <v>10444.200000000001</v>
      </c>
    </row>
    <row r="693" spans="2:3" x14ac:dyDescent="0.3">
      <c r="B693" s="134">
        <v>43090</v>
      </c>
      <c r="C693" s="135">
        <v>10440.299999999999</v>
      </c>
    </row>
    <row r="694" spans="2:3" x14ac:dyDescent="0.3">
      <c r="B694" s="134">
        <v>43091</v>
      </c>
      <c r="C694" s="135">
        <v>10493</v>
      </c>
    </row>
    <row r="695" spans="2:3" x14ac:dyDescent="0.3">
      <c r="B695" s="134">
        <v>43095</v>
      </c>
      <c r="C695" s="135">
        <v>10531.5</v>
      </c>
    </row>
    <row r="696" spans="2:3" x14ac:dyDescent="0.3">
      <c r="B696" s="134">
        <v>43096</v>
      </c>
      <c r="C696" s="135">
        <v>10490.75</v>
      </c>
    </row>
    <row r="697" spans="2:3" x14ac:dyDescent="0.3">
      <c r="B697" s="134">
        <v>43097</v>
      </c>
      <c r="C697" s="135">
        <v>10477.9</v>
      </c>
    </row>
    <row r="698" spans="2:3" x14ac:dyDescent="0.3">
      <c r="B698" s="134">
        <v>43098</v>
      </c>
      <c r="C698" s="135">
        <v>10530.7</v>
      </c>
    </row>
    <row r="699" spans="2:3" x14ac:dyDescent="0.3">
      <c r="B699" s="134">
        <v>43102</v>
      </c>
      <c r="C699" s="135">
        <v>10442.200000000001</v>
      </c>
    </row>
    <row r="700" spans="2:3" x14ac:dyDescent="0.3">
      <c r="B700" s="134">
        <v>43103</v>
      </c>
      <c r="C700" s="135">
        <v>10443.200000000001</v>
      </c>
    </row>
    <row r="701" spans="2:3" x14ac:dyDescent="0.3">
      <c r="B701" s="134">
        <v>43104</v>
      </c>
      <c r="C701" s="135">
        <v>10504.8</v>
      </c>
    </row>
    <row r="702" spans="2:3" x14ac:dyDescent="0.3">
      <c r="B702" s="134">
        <v>43105</v>
      </c>
      <c r="C702" s="135">
        <v>10558.85</v>
      </c>
    </row>
    <row r="703" spans="2:3" x14ac:dyDescent="0.3">
      <c r="B703" s="134">
        <v>43108</v>
      </c>
      <c r="C703" s="135">
        <v>10623.6</v>
      </c>
    </row>
    <row r="704" spans="2:3" x14ac:dyDescent="0.3">
      <c r="B704" s="134">
        <v>43109</v>
      </c>
      <c r="C704" s="135">
        <v>10637</v>
      </c>
    </row>
    <row r="705" spans="2:3" x14ac:dyDescent="0.3">
      <c r="B705" s="134">
        <v>43110</v>
      </c>
      <c r="C705" s="135">
        <v>10632.2</v>
      </c>
    </row>
    <row r="706" spans="2:3" x14ac:dyDescent="0.3">
      <c r="B706" s="134">
        <v>43111</v>
      </c>
      <c r="C706" s="135">
        <v>10651.2</v>
      </c>
    </row>
    <row r="707" spans="2:3" x14ac:dyDescent="0.3">
      <c r="B707" s="134">
        <v>43112</v>
      </c>
      <c r="C707" s="135">
        <v>10681.25</v>
      </c>
    </row>
    <row r="708" spans="2:3" x14ac:dyDescent="0.3">
      <c r="B708" s="134">
        <v>43115</v>
      </c>
      <c r="C708" s="135">
        <v>10741.55</v>
      </c>
    </row>
    <row r="709" spans="2:3" x14ac:dyDescent="0.3">
      <c r="B709" s="134">
        <v>43116</v>
      </c>
      <c r="C709" s="135">
        <v>10700.45</v>
      </c>
    </row>
    <row r="710" spans="2:3" x14ac:dyDescent="0.3">
      <c r="B710" s="134">
        <v>43117</v>
      </c>
      <c r="C710" s="135">
        <v>10788.55</v>
      </c>
    </row>
    <row r="711" spans="2:3" x14ac:dyDescent="0.3">
      <c r="B711" s="134">
        <v>43118</v>
      </c>
      <c r="C711" s="135">
        <v>10817</v>
      </c>
    </row>
    <row r="712" spans="2:3" x14ac:dyDescent="0.3">
      <c r="B712" s="134">
        <v>43119</v>
      </c>
      <c r="C712" s="135">
        <v>10894.7</v>
      </c>
    </row>
    <row r="713" spans="2:3" x14ac:dyDescent="0.3">
      <c r="B713" s="134">
        <v>43122</v>
      </c>
      <c r="C713" s="135">
        <v>10966.2</v>
      </c>
    </row>
    <row r="714" spans="2:3" x14ac:dyDescent="0.3">
      <c r="B714" s="134">
        <v>43123</v>
      </c>
      <c r="C714" s="135">
        <v>11083.7</v>
      </c>
    </row>
    <row r="715" spans="2:3" x14ac:dyDescent="0.3">
      <c r="B715" s="134">
        <v>43124</v>
      </c>
      <c r="C715" s="135">
        <v>11086</v>
      </c>
    </row>
    <row r="716" spans="2:3" x14ac:dyDescent="0.3">
      <c r="B716" s="134">
        <v>43125</v>
      </c>
      <c r="C716" s="135">
        <v>11069.65</v>
      </c>
    </row>
    <row r="717" spans="2:3" x14ac:dyDescent="0.3">
      <c r="B717" s="134">
        <v>43129</v>
      </c>
      <c r="C717" s="135">
        <v>11130.4</v>
      </c>
    </row>
    <row r="718" spans="2:3" x14ac:dyDescent="0.3">
      <c r="B718" s="134">
        <v>43130</v>
      </c>
      <c r="C718" s="135">
        <v>11049.65</v>
      </c>
    </row>
    <row r="719" spans="2:3" x14ac:dyDescent="0.3">
      <c r="B719" s="134">
        <v>43131</v>
      </c>
      <c r="C719" s="135">
        <v>11027.7</v>
      </c>
    </row>
    <row r="720" spans="2:3" x14ac:dyDescent="0.3">
      <c r="B720" s="134">
        <v>43132</v>
      </c>
      <c r="C720" s="135">
        <v>11016.9</v>
      </c>
    </row>
    <row r="721" spans="2:3" x14ac:dyDescent="0.3">
      <c r="B721" s="134">
        <v>43133</v>
      </c>
      <c r="C721" s="135">
        <v>10760.6</v>
      </c>
    </row>
    <row r="722" spans="2:3" x14ac:dyDescent="0.3">
      <c r="B722" s="134">
        <v>43136</v>
      </c>
      <c r="C722" s="135">
        <v>10666.55</v>
      </c>
    </row>
    <row r="723" spans="2:3" x14ac:dyDescent="0.3">
      <c r="B723" s="134">
        <v>43137</v>
      </c>
      <c r="C723" s="135">
        <v>10498.25</v>
      </c>
    </row>
    <row r="724" spans="2:3" x14ac:dyDescent="0.3">
      <c r="B724" s="134">
        <v>43138</v>
      </c>
      <c r="C724" s="135">
        <v>10476.700000000001</v>
      </c>
    </row>
    <row r="725" spans="2:3" x14ac:dyDescent="0.3">
      <c r="B725" s="134">
        <v>43139</v>
      </c>
      <c r="C725" s="135">
        <v>10576.85</v>
      </c>
    </row>
    <row r="726" spans="2:3" x14ac:dyDescent="0.3">
      <c r="B726" s="134">
        <v>43140</v>
      </c>
      <c r="C726" s="135">
        <v>10454.950000000001</v>
      </c>
    </row>
    <row r="727" spans="2:3" x14ac:dyDescent="0.3">
      <c r="B727" s="134">
        <v>43143</v>
      </c>
      <c r="C727" s="135">
        <v>10539.75</v>
      </c>
    </row>
    <row r="728" spans="2:3" x14ac:dyDescent="0.3">
      <c r="B728" s="134">
        <v>43145</v>
      </c>
      <c r="C728" s="135">
        <v>10500.9</v>
      </c>
    </row>
    <row r="729" spans="2:3" x14ac:dyDescent="0.3">
      <c r="B729" s="134">
        <v>43146</v>
      </c>
      <c r="C729" s="135">
        <v>10545.5</v>
      </c>
    </row>
    <row r="730" spans="2:3" x14ac:dyDescent="0.3">
      <c r="B730" s="134">
        <v>43147</v>
      </c>
      <c r="C730" s="135">
        <v>10452.299999999999</v>
      </c>
    </row>
    <row r="731" spans="2:3" x14ac:dyDescent="0.3">
      <c r="B731" s="134">
        <v>43150</v>
      </c>
      <c r="C731" s="135">
        <v>10378.4</v>
      </c>
    </row>
    <row r="732" spans="2:3" x14ac:dyDescent="0.3">
      <c r="B732" s="134">
        <v>43151</v>
      </c>
      <c r="C732" s="135">
        <v>10360.4</v>
      </c>
    </row>
    <row r="733" spans="2:3" x14ac:dyDescent="0.3">
      <c r="B733" s="134">
        <v>43152</v>
      </c>
      <c r="C733" s="135">
        <v>10397.450000000001</v>
      </c>
    </row>
    <row r="734" spans="2:3" x14ac:dyDescent="0.3">
      <c r="B734" s="134">
        <v>43153</v>
      </c>
      <c r="C734" s="135">
        <v>10382.700000000001</v>
      </c>
    </row>
    <row r="735" spans="2:3" x14ac:dyDescent="0.3">
      <c r="B735" s="134">
        <v>43154</v>
      </c>
      <c r="C735" s="135">
        <v>10491.05</v>
      </c>
    </row>
    <row r="736" spans="2:3" x14ac:dyDescent="0.3">
      <c r="B736" s="134">
        <v>43157</v>
      </c>
      <c r="C736" s="135">
        <v>10582.6</v>
      </c>
    </row>
    <row r="737" spans="2:3" x14ac:dyDescent="0.3">
      <c r="B737" s="134">
        <v>43158</v>
      </c>
      <c r="C737" s="135">
        <v>10554.3</v>
      </c>
    </row>
    <row r="738" spans="2:3" x14ac:dyDescent="0.3">
      <c r="B738" s="134">
        <v>43159</v>
      </c>
      <c r="C738" s="135">
        <v>10492.85</v>
      </c>
    </row>
    <row r="739" spans="2:3" x14ac:dyDescent="0.3">
      <c r="B739" s="134">
        <v>43160</v>
      </c>
      <c r="C739" s="135">
        <v>10458.35</v>
      </c>
    </row>
    <row r="740" spans="2:3" x14ac:dyDescent="0.3">
      <c r="B740" s="134">
        <v>43164</v>
      </c>
      <c r="C740" s="135">
        <v>10358.85</v>
      </c>
    </row>
    <row r="741" spans="2:3" x14ac:dyDescent="0.3">
      <c r="B741" s="134">
        <v>43165</v>
      </c>
      <c r="C741" s="135">
        <v>10249.25</v>
      </c>
    </row>
    <row r="742" spans="2:3" x14ac:dyDescent="0.3">
      <c r="B742" s="134">
        <v>43166</v>
      </c>
      <c r="C742" s="135">
        <v>10154.200000000001</v>
      </c>
    </row>
    <row r="743" spans="2:3" x14ac:dyDescent="0.3">
      <c r="B743" s="134">
        <v>43167</v>
      </c>
      <c r="C743" s="135">
        <v>10242.65</v>
      </c>
    </row>
    <row r="744" spans="2:3" x14ac:dyDescent="0.3">
      <c r="B744" s="134">
        <v>43168</v>
      </c>
      <c r="C744" s="135">
        <v>10226.85</v>
      </c>
    </row>
    <row r="745" spans="2:3" x14ac:dyDescent="0.3">
      <c r="B745" s="134">
        <v>43171</v>
      </c>
      <c r="C745" s="135">
        <v>10421.4</v>
      </c>
    </row>
    <row r="746" spans="2:3" x14ac:dyDescent="0.3">
      <c r="B746" s="134">
        <v>43172</v>
      </c>
      <c r="C746" s="135">
        <v>10426.85</v>
      </c>
    </row>
    <row r="747" spans="2:3" x14ac:dyDescent="0.3">
      <c r="B747" s="134">
        <v>43173</v>
      </c>
      <c r="C747" s="135">
        <v>10410.9</v>
      </c>
    </row>
    <row r="748" spans="2:3" x14ac:dyDescent="0.3">
      <c r="B748" s="134">
        <v>43174</v>
      </c>
      <c r="C748" s="135">
        <v>10360.15</v>
      </c>
    </row>
    <row r="749" spans="2:3" x14ac:dyDescent="0.3">
      <c r="B749" s="134">
        <v>43175</v>
      </c>
      <c r="C749" s="135">
        <v>10195.15</v>
      </c>
    </row>
    <row r="750" spans="2:3" x14ac:dyDescent="0.3">
      <c r="B750" s="134">
        <v>43178</v>
      </c>
      <c r="C750" s="135">
        <v>10094.25</v>
      </c>
    </row>
    <row r="751" spans="2:3" x14ac:dyDescent="0.3">
      <c r="B751" s="134">
        <v>43179</v>
      </c>
      <c r="C751" s="135">
        <v>10124.35</v>
      </c>
    </row>
    <row r="752" spans="2:3" x14ac:dyDescent="0.3">
      <c r="B752" s="134">
        <v>43180</v>
      </c>
      <c r="C752" s="135">
        <v>10155.25</v>
      </c>
    </row>
    <row r="753" spans="2:3" x14ac:dyDescent="0.3">
      <c r="B753" s="134">
        <v>43181</v>
      </c>
      <c r="C753" s="135">
        <v>10114.75</v>
      </c>
    </row>
    <row r="754" spans="2:3" x14ac:dyDescent="0.3">
      <c r="B754" s="134">
        <v>43182</v>
      </c>
      <c r="C754" s="135">
        <v>9998.0499999999993</v>
      </c>
    </row>
    <row r="755" spans="2:3" x14ac:dyDescent="0.3">
      <c r="B755" s="134">
        <v>43185</v>
      </c>
      <c r="C755" s="135">
        <v>10130.65</v>
      </c>
    </row>
    <row r="756" spans="2:3" x14ac:dyDescent="0.3">
      <c r="B756" s="134">
        <v>43186</v>
      </c>
      <c r="C756" s="135">
        <v>10184.15</v>
      </c>
    </row>
    <row r="757" spans="2:3" x14ac:dyDescent="0.3">
      <c r="B757" s="134">
        <v>43187</v>
      </c>
      <c r="C757" s="135">
        <v>10113.700000000001</v>
      </c>
    </row>
    <row r="758" spans="2:3" x14ac:dyDescent="0.3">
      <c r="B758" s="134">
        <v>43192</v>
      </c>
      <c r="C758" s="135">
        <v>10211.799999999999</v>
      </c>
    </row>
    <row r="759" spans="2:3" x14ac:dyDescent="0.3">
      <c r="B759" s="134">
        <v>43193</v>
      </c>
      <c r="C759" s="135">
        <v>10245</v>
      </c>
    </row>
    <row r="760" spans="2:3" x14ac:dyDescent="0.3">
      <c r="B760" s="134">
        <v>43194</v>
      </c>
      <c r="C760" s="135">
        <v>10128.4</v>
      </c>
    </row>
    <row r="761" spans="2:3" x14ac:dyDescent="0.3">
      <c r="B761" s="134">
        <v>43195</v>
      </c>
      <c r="C761" s="135">
        <v>10325.15</v>
      </c>
    </row>
    <row r="762" spans="2:3" x14ac:dyDescent="0.3">
      <c r="B762" s="134">
        <v>43196</v>
      </c>
      <c r="C762" s="135">
        <v>10331.6</v>
      </c>
    </row>
    <row r="763" spans="2:3" x14ac:dyDescent="0.3">
      <c r="B763" s="134">
        <v>43199</v>
      </c>
      <c r="C763" s="135">
        <v>10379.35</v>
      </c>
    </row>
    <row r="764" spans="2:3" x14ac:dyDescent="0.3">
      <c r="B764" s="134">
        <v>43200</v>
      </c>
      <c r="C764" s="135">
        <v>10402.25</v>
      </c>
    </row>
    <row r="765" spans="2:3" x14ac:dyDescent="0.3">
      <c r="B765" s="134">
        <v>43201</v>
      </c>
      <c r="C765" s="135">
        <v>10417.15</v>
      </c>
    </row>
    <row r="766" spans="2:3" x14ac:dyDescent="0.3">
      <c r="B766" s="134">
        <v>43202</v>
      </c>
      <c r="C766" s="135">
        <v>10458.65</v>
      </c>
    </row>
    <row r="767" spans="2:3" x14ac:dyDescent="0.3">
      <c r="B767" s="134">
        <v>43203</v>
      </c>
      <c r="C767" s="135">
        <v>10480.6</v>
      </c>
    </row>
    <row r="768" spans="2:3" x14ac:dyDescent="0.3">
      <c r="B768" s="134">
        <v>43206</v>
      </c>
      <c r="C768" s="135">
        <v>10528.35</v>
      </c>
    </row>
    <row r="769" spans="2:3" x14ac:dyDescent="0.3">
      <c r="B769" s="134">
        <v>43207</v>
      </c>
      <c r="C769" s="135">
        <v>10548.7</v>
      </c>
    </row>
    <row r="770" spans="2:3" x14ac:dyDescent="0.3">
      <c r="B770" s="134">
        <v>43208</v>
      </c>
      <c r="C770" s="135">
        <v>10526.2</v>
      </c>
    </row>
    <row r="771" spans="2:3" x14ac:dyDescent="0.3">
      <c r="B771" s="134">
        <v>43209</v>
      </c>
      <c r="C771" s="135">
        <v>10565.3</v>
      </c>
    </row>
    <row r="772" spans="2:3" x14ac:dyDescent="0.3">
      <c r="B772" s="134">
        <v>43210</v>
      </c>
      <c r="C772" s="135">
        <v>10564.05</v>
      </c>
    </row>
    <row r="773" spans="2:3" x14ac:dyDescent="0.3">
      <c r="B773" s="134">
        <v>43213</v>
      </c>
      <c r="C773" s="135">
        <v>10584.7</v>
      </c>
    </row>
    <row r="774" spans="2:3" x14ac:dyDescent="0.3">
      <c r="B774" s="134">
        <v>43214</v>
      </c>
      <c r="C774" s="135">
        <v>10614.35</v>
      </c>
    </row>
    <row r="775" spans="2:3" x14ac:dyDescent="0.3">
      <c r="B775" s="134">
        <v>43215</v>
      </c>
      <c r="C775" s="135">
        <v>10570.55</v>
      </c>
    </row>
    <row r="776" spans="2:3" x14ac:dyDescent="0.3">
      <c r="B776" s="134">
        <v>43216</v>
      </c>
      <c r="C776" s="135">
        <v>10617.8</v>
      </c>
    </row>
    <row r="777" spans="2:3" x14ac:dyDescent="0.3">
      <c r="B777" s="134">
        <v>43217</v>
      </c>
      <c r="C777" s="135">
        <v>10692.3</v>
      </c>
    </row>
    <row r="778" spans="2:3" x14ac:dyDescent="0.3">
      <c r="B778" s="134">
        <v>43220</v>
      </c>
      <c r="C778" s="135">
        <v>10739.35</v>
      </c>
    </row>
    <row r="779" spans="2:3" x14ac:dyDescent="0.3">
      <c r="B779" s="134">
        <v>43222</v>
      </c>
      <c r="C779" s="135">
        <v>10718.05</v>
      </c>
    </row>
    <row r="780" spans="2:3" x14ac:dyDescent="0.3">
      <c r="B780" s="134">
        <v>43223</v>
      </c>
      <c r="C780" s="135">
        <v>10679.65</v>
      </c>
    </row>
    <row r="781" spans="2:3" x14ac:dyDescent="0.3">
      <c r="B781" s="134">
        <v>43224</v>
      </c>
      <c r="C781" s="135">
        <v>10618.25</v>
      </c>
    </row>
    <row r="782" spans="2:3" x14ac:dyDescent="0.3">
      <c r="B782" s="134">
        <v>43227</v>
      </c>
      <c r="C782" s="135">
        <v>10715.5</v>
      </c>
    </row>
    <row r="783" spans="2:3" x14ac:dyDescent="0.3">
      <c r="B783" s="134">
        <v>43228</v>
      </c>
      <c r="C783" s="135">
        <v>10717.8</v>
      </c>
    </row>
    <row r="784" spans="2:3" x14ac:dyDescent="0.3">
      <c r="B784" s="134">
        <v>43229</v>
      </c>
      <c r="C784" s="135">
        <v>10741.7</v>
      </c>
    </row>
    <row r="785" spans="2:3" x14ac:dyDescent="0.3">
      <c r="B785" s="134">
        <v>43230</v>
      </c>
      <c r="C785" s="135">
        <v>10716.55</v>
      </c>
    </row>
    <row r="786" spans="2:3" x14ac:dyDescent="0.3">
      <c r="B786" s="134">
        <v>43231</v>
      </c>
      <c r="C786" s="135">
        <v>10806.5</v>
      </c>
    </row>
    <row r="787" spans="2:3" x14ac:dyDescent="0.3">
      <c r="B787" s="134">
        <v>43234</v>
      </c>
      <c r="C787" s="135">
        <v>10806.6</v>
      </c>
    </row>
    <row r="788" spans="2:3" x14ac:dyDescent="0.3">
      <c r="B788" s="134">
        <v>43235</v>
      </c>
      <c r="C788" s="135">
        <v>10801.85</v>
      </c>
    </row>
    <row r="789" spans="2:3" x14ac:dyDescent="0.3">
      <c r="B789" s="134">
        <v>43236</v>
      </c>
      <c r="C789" s="135">
        <v>10741.1</v>
      </c>
    </row>
    <row r="790" spans="2:3" x14ac:dyDescent="0.3">
      <c r="B790" s="134">
        <v>43237</v>
      </c>
      <c r="C790" s="135">
        <v>10682.7</v>
      </c>
    </row>
    <row r="791" spans="2:3" x14ac:dyDescent="0.3">
      <c r="B791" s="134">
        <v>43238</v>
      </c>
      <c r="C791" s="135">
        <v>10596.4</v>
      </c>
    </row>
    <row r="792" spans="2:3" x14ac:dyDescent="0.3">
      <c r="B792" s="134">
        <v>43241</v>
      </c>
      <c r="C792" s="135">
        <v>10516.7</v>
      </c>
    </row>
    <row r="793" spans="2:3" x14ac:dyDescent="0.3">
      <c r="B793" s="134">
        <v>43242</v>
      </c>
      <c r="C793" s="135">
        <v>10536.7</v>
      </c>
    </row>
    <row r="794" spans="2:3" x14ac:dyDescent="0.3">
      <c r="B794" s="134">
        <v>43243</v>
      </c>
      <c r="C794" s="135">
        <v>10430.35</v>
      </c>
    </row>
    <row r="795" spans="2:3" x14ac:dyDescent="0.3">
      <c r="B795" s="134">
        <v>43244</v>
      </c>
      <c r="C795" s="135">
        <v>10513.85</v>
      </c>
    </row>
    <row r="796" spans="2:3" x14ac:dyDescent="0.3">
      <c r="B796" s="134">
        <v>43245</v>
      </c>
      <c r="C796" s="135">
        <v>10605.15</v>
      </c>
    </row>
    <row r="797" spans="2:3" x14ac:dyDescent="0.3">
      <c r="B797" s="134">
        <v>43248</v>
      </c>
      <c r="C797" s="135">
        <v>10688.65</v>
      </c>
    </row>
    <row r="798" spans="2:3" x14ac:dyDescent="0.3">
      <c r="B798" s="134">
        <v>43249</v>
      </c>
      <c r="C798" s="135">
        <v>10633.3</v>
      </c>
    </row>
    <row r="799" spans="2:3" x14ac:dyDescent="0.3">
      <c r="B799" s="134">
        <v>43250</v>
      </c>
      <c r="C799" s="135">
        <v>10614.35</v>
      </c>
    </row>
    <row r="800" spans="2:3" x14ac:dyDescent="0.3">
      <c r="B800" s="134">
        <v>43251</v>
      </c>
      <c r="C800" s="135">
        <v>10736.15</v>
      </c>
    </row>
    <row r="801" spans="2:3" x14ac:dyDescent="0.3">
      <c r="B801" s="134">
        <v>43252</v>
      </c>
      <c r="C801" s="135">
        <v>10696.2</v>
      </c>
    </row>
    <row r="802" spans="2:3" x14ac:dyDescent="0.3">
      <c r="B802" s="134">
        <v>43255</v>
      </c>
      <c r="C802" s="135">
        <v>10628.5</v>
      </c>
    </row>
    <row r="803" spans="2:3" x14ac:dyDescent="0.3">
      <c r="B803" s="134">
        <v>43256</v>
      </c>
      <c r="C803" s="135">
        <v>10593.15</v>
      </c>
    </row>
    <row r="804" spans="2:3" x14ac:dyDescent="0.3">
      <c r="B804" s="134">
        <v>43257</v>
      </c>
      <c r="C804" s="135">
        <v>10684.65</v>
      </c>
    </row>
    <row r="805" spans="2:3" x14ac:dyDescent="0.3">
      <c r="B805" s="134">
        <v>43258</v>
      </c>
      <c r="C805" s="135">
        <v>10768.35</v>
      </c>
    </row>
    <row r="806" spans="2:3" x14ac:dyDescent="0.3">
      <c r="B806" s="134">
        <v>43259</v>
      </c>
      <c r="C806" s="135">
        <v>10767.65</v>
      </c>
    </row>
    <row r="807" spans="2:3" x14ac:dyDescent="0.3">
      <c r="B807" s="134">
        <v>43262</v>
      </c>
      <c r="C807" s="135">
        <v>10786.95</v>
      </c>
    </row>
    <row r="808" spans="2:3" x14ac:dyDescent="0.3">
      <c r="B808" s="134">
        <v>43263</v>
      </c>
      <c r="C808" s="135">
        <v>10842.85</v>
      </c>
    </row>
    <row r="809" spans="2:3" x14ac:dyDescent="0.3">
      <c r="B809" s="134">
        <v>43264</v>
      </c>
      <c r="C809" s="135">
        <v>10856.7</v>
      </c>
    </row>
    <row r="810" spans="2:3" x14ac:dyDescent="0.3">
      <c r="B810" s="134">
        <v>43265</v>
      </c>
      <c r="C810" s="135">
        <v>10808.05</v>
      </c>
    </row>
    <row r="811" spans="2:3" x14ac:dyDescent="0.3">
      <c r="B811" s="134">
        <v>43266</v>
      </c>
      <c r="C811" s="135">
        <v>10817.7</v>
      </c>
    </row>
    <row r="812" spans="2:3" x14ac:dyDescent="0.3">
      <c r="B812" s="134">
        <v>43269</v>
      </c>
      <c r="C812" s="135">
        <v>10799.85</v>
      </c>
    </row>
    <row r="813" spans="2:3" x14ac:dyDescent="0.3">
      <c r="B813" s="134">
        <v>43270</v>
      </c>
      <c r="C813" s="135">
        <v>10710.45</v>
      </c>
    </row>
    <row r="814" spans="2:3" x14ac:dyDescent="0.3">
      <c r="B814" s="134">
        <v>43271</v>
      </c>
      <c r="C814" s="135">
        <v>10772.05</v>
      </c>
    </row>
    <row r="815" spans="2:3" x14ac:dyDescent="0.3">
      <c r="B815" s="134">
        <v>43272</v>
      </c>
      <c r="C815" s="135">
        <v>10741.1</v>
      </c>
    </row>
    <row r="816" spans="2:3" x14ac:dyDescent="0.3">
      <c r="B816" s="134">
        <v>43273</v>
      </c>
      <c r="C816" s="135">
        <v>10821.85</v>
      </c>
    </row>
    <row r="817" spans="2:3" x14ac:dyDescent="0.3">
      <c r="B817" s="134">
        <v>43276</v>
      </c>
      <c r="C817" s="135">
        <v>10762.45</v>
      </c>
    </row>
    <row r="818" spans="2:3" x14ac:dyDescent="0.3">
      <c r="B818" s="134">
        <v>43277</v>
      </c>
      <c r="C818" s="135">
        <v>10769.15</v>
      </c>
    </row>
    <row r="819" spans="2:3" x14ac:dyDescent="0.3">
      <c r="B819" s="134">
        <v>43278</v>
      </c>
      <c r="C819" s="135">
        <v>10671.4</v>
      </c>
    </row>
    <row r="820" spans="2:3" x14ac:dyDescent="0.3">
      <c r="B820" s="134">
        <v>43279</v>
      </c>
      <c r="C820" s="135">
        <v>10589.1</v>
      </c>
    </row>
    <row r="821" spans="2:3" x14ac:dyDescent="0.3">
      <c r="B821" s="134">
        <v>43280</v>
      </c>
      <c r="C821" s="135">
        <v>10714.3</v>
      </c>
    </row>
    <row r="822" spans="2:3" x14ac:dyDescent="0.3">
      <c r="B822" s="134">
        <v>43283</v>
      </c>
      <c r="C822" s="135">
        <v>10657.3</v>
      </c>
    </row>
    <row r="823" spans="2:3" x14ac:dyDescent="0.3">
      <c r="B823" s="134">
        <v>43284</v>
      </c>
      <c r="C823" s="135">
        <v>10699.9</v>
      </c>
    </row>
    <row r="824" spans="2:3" x14ac:dyDescent="0.3">
      <c r="B824" s="134">
        <v>43285</v>
      </c>
      <c r="C824" s="135">
        <v>10769.9</v>
      </c>
    </row>
    <row r="825" spans="2:3" x14ac:dyDescent="0.3">
      <c r="B825" s="134">
        <v>43286</v>
      </c>
      <c r="C825" s="135">
        <v>10749.75</v>
      </c>
    </row>
    <row r="826" spans="2:3" x14ac:dyDescent="0.3">
      <c r="B826" s="134">
        <v>43287</v>
      </c>
      <c r="C826" s="135">
        <v>10772.65</v>
      </c>
    </row>
    <row r="827" spans="2:3" x14ac:dyDescent="0.3">
      <c r="B827" s="134">
        <v>43290</v>
      </c>
      <c r="C827" s="135">
        <v>10852.9</v>
      </c>
    </row>
    <row r="828" spans="2:3" x14ac:dyDescent="0.3">
      <c r="B828" s="134">
        <v>43291</v>
      </c>
      <c r="C828" s="135">
        <v>10947.25</v>
      </c>
    </row>
    <row r="829" spans="2:3" x14ac:dyDescent="0.3">
      <c r="B829" s="134">
        <v>43292</v>
      </c>
      <c r="C829" s="135">
        <v>10948.3</v>
      </c>
    </row>
    <row r="830" spans="2:3" x14ac:dyDescent="0.3">
      <c r="B830" s="134">
        <v>43293</v>
      </c>
      <c r="C830" s="135">
        <v>11023.2</v>
      </c>
    </row>
    <row r="831" spans="2:3" x14ac:dyDescent="0.3">
      <c r="B831" s="134">
        <v>43294</v>
      </c>
      <c r="C831" s="135">
        <v>11018.9</v>
      </c>
    </row>
    <row r="832" spans="2:3" x14ac:dyDescent="0.3">
      <c r="B832" s="134">
        <v>43297</v>
      </c>
      <c r="C832" s="135">
        <v>10936.85</v>
      </c>
    </row>
    <row r="833" spans="2:3" x14ac:dyDescent="0.3">
      <c r="B833" s="134">
        <v>43298</v>
      </c>
      <c r="C833" s="135">
        <v>11008.05</v>
      </c>
    </row>
    <row r="834" spans="2:3" x14ac:dyDescent="0.3">
      <c r="B834" s="134">
        <v>43299</v>
      </c>
      <c r="C834" s="135">
        <v>10980.45</v>
      </c>
    </row>
    <row r="835" spans="2:3" x14ac:dyDescent="0.3">
      <c r="B835" s="134">
        <v>43300</v>
      </c>
      <c r="C835" s="135">
        <v>10957.1</v>
      </c>
    </row>
    <row r="836" spans="2:3" x14ac:dyDescent="0.3">
      <c r="B836" s="134">
        <v>43301</v>
      </c>
      <c r="C836" s="135">
        <v>11010.2</v>
      </c>
    </row>
    <row r="837" spans="2:3" x14ac:dyDescent="0.3">
      <c r="B837" s="134">
        <v>43304</v>
      </c>
      <c r="C837" s="135">
        <v>11084.75</v>
      </c>
    </row>
    <row r="838" spans="2:3" x14ac:dyDescent="0.3">
      <c r="B838" s="134">
        <v>43305</v>
      </c>
      <c r="C838" s="135">
        <v>11134.3</v>
      </c>
    </row>
    <row r="839" spans="2:3" x14ac:dyDescent="0.3">
      <c r="B839" s="134">
        <v>43306</v>
      </c>
      <c r="C839" s="135">
        <v>11132</v>
      </c>
    </row>
    <row r="840" spans="2:3" x14ac:dyDescent="0.3">
      <c r="B840" s="134">
        <v>43307</v>
      </c>
      <c r="C840" s="135">
        <v>11167.3</v>
      </c>
    </row>
    <row r="841" spans="2:3" x14ac:dyDescent="0.3">
      <c r="B841" s="134">
        <v>43308</v>
      </c>
      <c r="C841" s="135">
        <v>11278.35</v>
      </c>
    </row>
    <row r="842" spans="2:3" x14ac:dyDescent="0.3">
      <c r="B842" s="134">
        <v>43311</v>
      </c>
      <c r="C842" s="135">
        <v>11319.55</v>
      </c>
    </row>
    <row r="843" spans="2:3" x14ac:dyDescent="0.3">
      <c r="B843" s="134">
        <v>43312</v>
      </c>
      <c r="C843" s="135">
        <v>11356.5</v>
      </c>
    </row>
    <row r="844" spans="2:3" x14ac:dyDescent="0.3">
      <c r="B844" s="134">
        <v>43313</v>
      </c>
      <c r="C844" s="135">
        <v>11346.2</v>
      </c>
    </row>
    <row r="845" spans="2:3" x14ac:dyDescent="0.3">
      <c r="B845" s="134">
        <v>43314</v>
      </c>
      <c r="C845" s="135">
        <v>11244.7</v>
      </c>
    </row>
    <row r="846" spans="2:3" x14ac:dyDescent="0.3">
      <c r="B846" s="134">
        <v>43315</v>
      </c>
      <c r="C846" s="135">
        <v>11360.8</v>
      </c>
    </row>
    <row r="847" spans="2:3" x14ac:dyDescent="0.3">
      <c r="B847" s="134">
        <v>43318</v>
      </c>
      <c r="C847" s="135">
        <v>11387.1</v>
      </c>
    </row>
    <row r="848" spans="2:3" x14ac:dyDescent="0.3">
      <c r="B848" s="134">
        <v>43319</v>
      </c>
      <c r="C848" s="135">
        <v>11389.45</v>
      </c>
    </row>
    <row r="849" spans="2:3" x14ac:dyDescent="0.3">
      <c r="B849" s="134">
        <v>43320</v>
      </c>
      <c r="C849" s="135">
        <v>11450</v>
      </c>
    </row>
    <row r="850" spans="2:3" x14ac:dyDescent="0.3">
      <c r="B850" s="134">
        <v>43321</v>
      </c>
      <c r="C850" s="135">
        <v>11470.7</v>
      </c>
    </row>
    <row r="851" spans="2:3" x14ac:dyDescent="0.3">
      <c r="B851" s="134">
        <v>43322</v>
      </c>
      <c r="C851" s="135">
        <v>11429.5</v>
      </c>
    </row>
    <row r="852" spans="2:3" x14ac:dyDescent="0.3">
      <c r="B852" s="134">
        <v>43325</v>
      </c>
      <c r="C852" s="135">
        <v>11355.75</v>
      </c>
    </row>
    <row r="853" spans="2:3" x14ac:dyDescent="0.3">
      <c r="B853" s="134">
        <v>43326</v>
      </c>
      <c r="C853" s="135">
        <v>11435.1</v>
      </c>
    </row>
    <row r="854" spans="2:3" x14ac:dyDescent="0.3">
      <c r="B854" s="134">
        <v>43328</v>
      </c>
      <c r="C854" s="135">
        <v>11385.05</v>
      </c>
    </row>
    <row r="855" spans="2:3" x14ac:dyDescent="0.3">
      <c r="B855" s="134">
        <v>43329</v>
      </c>
      <c r="C855" s="135">
        <v>11470.75</v>
      </c>
    </row>
    <row r="856" spans="2:3" x14ac:dyDescent="0.3">
      <c r="B856" s="134">
        <v>43332</v>
      </c>
      <c r="C856" s="135">
        <v>11551.75</v>
      </c>
    </row>
    <row r="857" spans="2:3" x14ac:dyDescent="0.3">
      <c r="B857" s="134">
        <v>43333</v>
      </c>
      <c r="C857" s="135">
        <v>11570.9</v>
      </c>
    </row>
    <row r="858" spans="2:3" x14ac:dyDescent="0.3">
      <c r="B858" s="134">
        <v>43335</v>
      </c>
      <c r="C858" s="135">
        <v>11582.75</v>
      </c>
    </row>
    <row r="859" spans="2:3" x14ac:dyDescent="0.3">
      <c r="B859" s="134">
        <v>43336</v>
      </c>
      <c r="C859" s="135">
        <v>11557.1</v>
      </c>
    </row>
    <row r="860" spans="2:3" x14ac:dyDescent="0.3">
      <c r="B860" s="134">
        <v>43339</v>
      </c>
      <c r="C860" s="135">
        <v>11691.95</v>
      </c>
    </row>
    <row r="861" spans="2:3" x14ac:dyDescent="0.3">
      <c r="B861" s="134">
        <v>43340</v>
      </c>
      <c r="C861" s="135">
        <v>11738.5</v>
      </c>
    </row>
    <row r="862" spans="2:3" x14ac:dyDescent="0.3">
      <c r="B862" s="134">
        <v>43341</v>
      </c>
      <c r="C862" s="135">
        <v>11691.9</v>
      </c>
    </row>
    <row r="863" spans="2:3" x14ac:dyDescent="0.3">
      <c r="B863" s="134">
        <v>43342</v>
      </c>
      <c r="C863" s="135">
        <v>11676.8</v>
      </c>
    </row>
    <row r="864" spans="2:3" x14ac:dyDescent="0.3">
      <c r="B864" s="134">
        <v>43343</v>
      </c>
      <c r="C864" s="135">
        <v>11680.5</v>
      </c>
    </row>
    <row r="865" spans="2:3" x14ac:dyDescent="0.3">
      <c r="B865" s="134">
        <v>43346</v>
      </c>
      <c r="C865" s="135">
        <v>11582.35</v>
      </c>
    </row>
    <row r="866" spans="2:3" x14ac:dyDescent="0.3">
      <c r="B866" s="134">
        <v>43347</v>
      </c>
      <c r="C866" s="135">
        <v>11520.3</v>
      </c>
    </row>
    <row r="867" spans="2:3" x14ac:dyDescent="0.3">
      <c r="B867" s="134">
        <v>43348</v>
      </c>
      <c r="C867" s="135">
        <v>11476.95</v>
      </c>
    </row>
    <row r="868" spans="2:3" x14ac:dyDescent="0.3">
      <c r="B868" s="134">
        <v>43349</v>
      </c>
      <c r="C868" s="135">
        <v>11536.9</v>
      </c>
    </row>
    <row r="869" spans="2:3" x14ac:dyDescent="0.3">
      <c r="B869" s="134">
        <v>43350</v>
      </c>
      <c r="C869" s="135">
        <v>11589.1</v>
      </c>
    </row>
    <row r="870" spans="2:3" x14ac:dyDescent="0.3">
      <c r="B870" s="134">
        <v>43353</v>
      </c>
      <c r="C870" s="135">
        <v>11438.1</v>
      </c>
    </row>
    <row r="871" spans="2:3" x14ac:dyDescent="0.3">
      <c r="B871" s="134">
        <v>43354</v>
      </c>
      <c r="C871" s="135">
        <v>11287.5</v>
      </c>
    </row>
    <row r="872" spans="2:3" x14ac:dyDescent="0.3">
      <c r="B872" s="134">
        <v>43355</v>
      </c>
      <c r="C872" s="135">
        <v>11369.9</v>
      </c>
    </row>
    <row r="873" spans="2:3" x14ac:dyDescent="0.3">
      <c r="B873" s="134">
        <v>43357</v>
      </c>
      <c r="C873" s="135">
        <v>11515.2</v>
      </c>
    </row>
    <row r="874" spans="2:3" x14ac:dyDescent="0.3">
      <c r="B874" s="134">
        <v>43360</v>
      </c>
      <c r="C874" s="135">
        <v>11377.75</v>
      </c>
    </row>
    <row r="875" spans="2:3" x14ac:dyDescent="0.3">
      <c r="B875" s="134">
        <v>43361</v>
      </c>
      <c r="C875" s="135">
        <v>11278.9</v>
      </c>
    </row>
    <row r="876" spans="2:3" x14ac:dyDescent="0.3">
      <c r="B876" s="134">
        <v>43362</v>
      </c>
      <c r="C876" s="135">
        <v>11234.35</v>
      </c>
    </row>
    <row r="877" spans="2:3" x14ac:dyDescent="0.3">
      <c r="B877" s="134">
        <v>43364</v>
      </c>
      <c r="C877" s="135">
        <v>11143.1</v>
      </c>
    </row>
    <row r="878" spans="2:3" x14ac:dyDescent="0.3">
      <c r="B878" s="134">
        <v>43367</v>
      </c>
      <c r="C878" s="135">
        <v>10967.4</v>
      </c>
    </row>
    <row r="879" spans="2:3" x14ac:dyDescent="0.3">
      <c r="B879" s="134">
        <v>43368</v>
      </c>
      <c r="C879" s="135">
        <v>11067.45</v>
      </c>
    </row>
    <row r="880" spans="2:3" x14ac:dyDescent="0.3">
      <c r="B880" s="134">
        <v>43369</v>
      </c>
      <c r="C880" s="135">
        <v>11053.8</v>
      </c>
    </row>
    <row r="881" spans="2:3" x14ac:dyDescent="0.3">
      <c r="B881" s="134">
        <v>43370</v>
      </c>
      <c r="C881" s="135">
        <v>10977.55</v>
      </c>
    </row>
    <row r="882" spans="2:3" x14ac:dyDescent="0.3">
      <c r="B882" s="134">
        <v>43371</v>
      </c>
      <c r="C882" s="135">
        <v>10930.45</v>
      </c>
    </row>
    <row r="883" spans="2:3" x14ac:dyDescent="0.3">
      <c r="B883" s="134">
        <v>43374</v>
      </c>
      <c r="C883" s="135">
        <v>11008.3</v>
      </c>
    </row>
    <row r="884" spans="2:3" x14ac:dyDescent="0.3">
      <c r="B884" s="134">
        <v>43376</v>
      </c>
      <c r="C884" s="135">
        <v>10858.25</v>
      </c>
    </row>
    <row r="885" spans="2:3" x14ac:dyDescent="0.3">
      <c r="B885" s="134">
        <v>43377</v>
      </c>
      <c r="C885" s="135">
        <v>10599.25</v>
      </c>
    </row>
    <row r="886" spans="2:3" x14ac:dyDescent="0.3">
      <c r="B886" s="134">
        <v>43378</v>
      </c>
      <c r="C886" s="135">
        <v>10316.450000000001</v>
      </c>
    </row>
    <row r="887" spans="2:3" x14ac:dyDescent="0.3">
      <c r="B887" s="134">
        <v>43381</v>
      </c>
      <c r="C887" s="135">
        <v>10348.049999999999</v>
      </c>
    </row>
    <row r="888" spans="2:3" x14ac:dyDescent="0.3">
      <c r="B888" s="134">
        <v>43382</v>
      </c>
      <c r="C888" s="135">
        <v>10301.049999999999</v>
      </c>
    </row>
    <row r="889" spans="2:3" x14ac:dyDescent="0.3">
      <c r="B889" s="134">
        <v>43383</v>
      </c>
      <c r="C889" s="135">
        <v>10460.1</v>
      </c>
    </row>
    <row r="890" spans="2:3" x14ac:dyDescent="0.3">
      <c r="B890" s="134">
        <v>43384</v>
      </c>
      <c r="C890" s="135">
        <v>10234.65</v>
      </c>
    </row>
    <row r="891" spans="2:3" x14ac:dyDescent="0.3">
      <c r="B891" s="134">
        <v>43385</v>
      </c>
      <c r="C891" s="135">
        <v>10472.5</v>
      </c>
    </row>
    <row r="892" spans="2:3" x14ac:dyDescent="0.3">
      <c r="B892" s="134">
        <v>43388</v>
      </c>
      <c r="C892" s="135">
        <v>10512.5</v>
      </c>
    </row>
    <row r="893" spans="2:3" x14ac:dyDescent="0.3">
      <c r="B893" s="134">
        <v>43389</v>
      </c>
      <c r="C893" s="135">
        <v>10584.75</v>
      </c>
    </row>
    <row r="894" spans="2:3" x14ac:dyDescent="0.3">
      <c r="B894" s="134">
        <v>43390</v>
      </c>
      <c r="C894" s="135">
        <v>10453.049999999999</v>
      </c>
    </row>
    <row r="895" spans="2:3" x14ac:dyDescent="0.3">
      <c r="B895" s="134">
        <v>43392</v>
      </c>
      <c r="C895" s="135">
        <v>10303.549999999999</v>
      </c>
    </row>
    <row r="896" spans="2:3" x14ac:dyDescent="0.3">
      <c r="B896" s="134">
        <v>43395</v>
      </c>
      <c r="C896" s="135">
        <v>10245.25</v>
      </c>
    </row>
    <row r="897" spans="2:3" x14ac:dyDescent="0.3">
      <c r="B897" s="134">
        <v>43396</v>
      </c>
      <c r="C897" s="135">
        <v>10146.799999999999</v>
      </c>
    </row>
    <row r="898" spans="2:3" x14ac:dyDescent="0.3">
      <c r="B898" s="134">
        <v>43397</v>
      </c>
      <c r="C898" s="135">
        <v>10224.75</v>
      </c>
    </row>
    <row r="899" spans="2:3" x14ac:dyDescent="0.3">
      <c r="B899" s="134">
        <v>43398</v>
      </c>
      <c r="C899" s="135">
        <v>10124.9</v>
      </c>
    </row>
    <row r="900" spans="2:3" x14ac:dyDescent="0.3">
      <c r="B900" s="134">
        <v>43399</v>
      </c>
      <c r="C900" s="135">
        <v>10030</v>
      </c>
    </row>
    <row r="901" spans="2:3" x14ac:dyDescent="0.3">
      <c r="B901" s="134">
        <v>43402</v>
      </c>
      <c r="C901" s="135">
        <v>10250.85</v>
      </c>
    </row>
    <row r="902" spans="2:3" x14ac:dyDescent="0.3">
      <c r="B902" s="134">
        <v>43403</v>
      </c>
      <c r="C902" s="135">
        <v>10198.4</v>
      </c>
    </row>
    <row r="903" spans="2:3" x14ac:dyDescent="0.3">
      <c r="B903" s="134">
        <v>43404</v>
      </c>
      <c r="C903" s="135">
        <v>10386.6</v>
      </c>
    </row>
    <row r="904" spans="2:3" x14ac:dyDescent="0.3">
      <c r="B904" s="134">
        <v>43405</v>
      </c>
      <c r="C904" s="135">
        <v>10380.450000000001</v>
      </c>
    </row>
    <row r="905" spans="2:3" x14ac:dyDescent="0.3">
      <c r="B905" s="134">
        <v>43406</v>
      </c>
      <c r="C905" s="135">
        <v>10553</v>
      </c>
    </row>
    <row r="906" spans="2:3" x14ac:dyDescent="0.3">
      <c r="B906" s="134">
        <v>43409</v>
      </c>
      <c r="C906" s="135">
        <v>10524</v>
      </c>
    </row>
    <row r="907" spans="2:3" x14ac:dyDescent="0.3">
      <c r="B907" s="134">
        <v>43410</v>
      </c>
      <c r="C907" s="135">
        <v>10530</v>
      </c>
    </row>
    <row r="908" spans="2:3" x14ac:dyDescent="0.3">
      <c r="B908" s="134">
        <v>43411</v>
      </c>
      <c r="C908" s="135">
        <v>10598.4</v>
      </c>
    </row>
    <row r="909" spans="2:3" x14ac:dyDescent="0.3">
      <c r="B909" s="134">
        <v>43413</v>
      </c>
      <c r="C909" s="135">
        <v>10585.2</v>
      </c>
    </row>
    <row r="910" spans="2:3" x14ac:dyDescent="0.3">
      <c r="B910" s="134">
        <v>43416</v>
      </c>
      <c r="C910" s="135">
        <v>10482.200000000001</v>
      </c>
    </row>
    <row r="911" spans="2:3" x14ac:dyDescent="0.3">
      <c r="B911" s="134">
        <v>43417</v>
      </c>
      <c r="C911" s="135">
        <v>10582.5</v>
      </c>
    </row>
    <row r="912" spans="2:3" x14ac:dyDescent="0.3">
      <c r="B912" s="134">
        <v>43418</v>
      </c>
      <c r="C912" s="135">
        <v>10576.3</v>
      </c>
    </row>
    <row r="913" spans="2:3" x14ac:dyDescent="0.3">
      <c r="B913" s="134">
        <v>43419</v>
      </c>
      <c r="C913" s="135">
        <v>10616.7</v>
      </c>
    </row>
    <row r="914" spans="2:3" x14ac:dyDescent="0.3">
      <c r="B914" s="134">
        <v>43420</v>
      </c>
      <c r="C914" s="135">
        <v>10682.2</v>
      </c>
    </row>
    <row r="915" spans="2:3" x14ac:dyDescent="0.3">
      <c r="B915" s="134">
        <v>43423</v>
      </c>
      <c r="C915" s="135">
        <v>10763.4</v>
      </c>
    </row>
    <row r="916" spans="2:3" x14ac:dyDescent="0.3">
      <c r="B916" s="134">
        <v>43424</v>
      </c>
      <c r="C916" s="135">
        <v>10656.2</v>
      </c>
    </row>
    <row r="917" spans="2:3" x14ac:dyDescent="0.3">
      <c r="B917" s="134">
        <v>43425</v>
      </c>
      <c r="C917" s="135">
        <v>10600.05</v>
      </c>
    </row>
    <row r="918" spans="2:3" x14ac:dyDescent="0.3">
      <c r="B918" s="134">
        <v>43426</v>
      </c>
      <c r="C918" s="135">
        <v>10526.75</v>
      </c>
    </row>
    <row r="919" spans="2:3" x14ac:dyDescent="0.3">
      <c r="B919" s="134">
        <v>43430</v>
      </c>
      <c r="C919" s="135">
        <v>10628.6</v>
      </c>
    </row>
    <row r="920" spans="2:3" x14ac:dyDescent="0.3">
      <c r="B920" s="134">
        <v>43431</v>
      </c>
      <c r="C920" s="135">
        <v>10685.6</v>
      </c>
    </row>
    <row r="921" spans="2:3" x14ac:dyDescent="0.3">
      <c r="B921" s="134">
        <v>43432</v>
      </c>
      <c r="C921" s="135">
        <v>10728.85</v>
      </c>
    </row>
    <row r="922" spans="2:3" x14ac:dyDescent="0.3">
      <c r="B922" s="134">
        <v>43433</v>
      </c>
      <c r="C922" s="135">
        <v>10858.7</v>
      </c>
    </row>
    <row r="923" spans="2:3" x14ac:dyDescent="0.3">
      <c r="B923" s="134">
        <v>43434</v>
      </c>
      <c r="C923" s="135">
        <v>10876.75</v>
      </c>
    </row>
    <row r="924" spans="2:3" x14ac:dyDescent="0.3">
      <c r="B924" s="134">
        <v>43437</v>
      </c>
      <c r="C924" s="135">
        <v>10883.75</v>
      </c>
    </row>
    <row r="925" spans="2:3" x14ac:dyDescent="0.3">
      <c r="B925" s="134">
        <v>43438</v>
      </c>
      <c r="C925" s="135">
        <v>10869.5</v>
      </c>
    </row>
    <row r="926" spans="2:3" x14ac:dyDescent="0.3">
      <c r="B926" s="134">
        <v>43439</v>
      </c>
      <c r="C926" s="135">
        <v>10782.9</v>
      </c>
    </row>
    <row r="927" spans="2:3" x14ac:dyDescent="0.3">
      <c r="B927" s="134">
        <v>43440</v>
      </c>
      <c r="C927" s="135">
        <v>10601.15</v>
      </c>
    </row>
    <row r="928" spans="2:3" x14ac:dyDescent="0.3">
      <c r="B928" s="134">
        <v>43441</v>
      </c>
      <c r="C928" s="135">
        <v>10693.7</v>
      </c>
    </row>
    <row r="929" spans="2:3" x14ac:dyDescent="0.3">
      <c r="B929" s="134">
        <v>43444</v>
      </c>
      <c r="C929" s="135">
        <v>10488.45</v>
      </c>
    </row>
    <row r="930" spans="2:3" x14ac:dyDescent="0.3">
      <c r="B930" s="134">
        <v>43445</v>
      </c>
      <c r="C930" s="135">
        <v>10549.15</v>
      </c>
    </row>
    <row r="931" spans="2:3" x14ac:dyDescent="0.3">
      <c r="B931" s="134">
        <v>43446</v>
      </c>
      <c r="C931" s="135">
        <v>10737.6</v>
      </c>
    </row>
    <row r="932" spans="2:3" x14ac:dyDescent="0.3">
      <c r="B932" s="134">
        <v>43447</v>
      </c>
      <c r="C932" s="135">
        <v>10791.55</v>
      </c>
    </row>
    <row r="933" spans="2:3" x14ac:dyDescent="0.3">
      <c r="B933" s="134">
        <v>43448</v>
      </c>
      <c r="C933" s="135">
        <v>10805.45</v>
      </c>
    </row>
    <row r="934" spans="2:3" x14ac:dyDescent="0.3">
      <c r="B934" s="134">
        <v>43451</v>
      </c>
      <c r="C934" s="135">
        <v>10888.35</v>
      </c>
    </row>
    <row r="935" spans="2:3" x14ac:dyDescent="0.3">
      <c r="B935" s="134">
        <v>43452</v>
      </c>
      <c r="C935" s="135">
        <v>10908.7</v>
      </c>
    </row>
    <row r="936" spans="2:3" x14ac:dyDescent="0.3">
      <c r="B936" s="134">
        <v>43453</v>
      </c>
      <c r="C936" s="135">
        <v>10967.3</v>
      </c>
    </row>
    <row r="937" spans="2:3" x14ac:dyDescent="0.3">
      <c r="B937" s="134">
        <v>43454</v>
      </c>
      <c r="C937" s="135">
        <v>10951.7</v>
      </c>
    </row>
    <row r="938" spans="2:3" x14ac:dyDescent="0.3">
      <c r="B938" s="134">
        <v>43455</v>
      </c>
      <c r="C938" s="135">
        <v>10754</v>
      </c>
    </row>
    <row r="939" spans="2:3" x14ac:dyDescent="0.3">
      <c r="B939" s="134">
        <v>43458</v>
      </c>
      <c r="C939" s="135">
        <v>10663.5</v>
      </c>
    </row>
    <row r="940" spans="2:3" x14ac:dyDescent="0.3">
      <c r="B940" s="134">
        <v>43460</v>
      </c>
      <c r="C940" s="135">
        <v>10729.85</v>
      </c>
    </row>
    <row r="941" spans="2:3" x14ac:dyDescent="0.3">
      <c r="B941" s="134">
        <v>43461</v>
      </c>
      <c r="C941" s="135">
        <v>10779.8</v>
      </c>
    </row>
    <row r="942" spans="2:3" x14ac:dyDescent="0.3">
      <c r="B942" s="134">
        <v>43462</v>
      </c>
      <c r="C942" s="135">
        <v>10859.9</v>
      </c>
    </row>
    <row r="943" spans="2:3" x14ac:dyDescent="0.3">
      <c r="B943" s="134">
        <v>43465</v>
      </c>
      <c r="C943" s="135">
        <v>10862.55</v>
      </c>
    </row>
    <row r="944" spans="2:3" x14ac:dyDescent="0.3">
      <c r="B944" s="134">
        <v>43467</v>
      </c>
      <c r="C944" s="135">
        <v>10792.5</v>
      </c>
    </row>
    <row r="945" spans="2:3" x14ac:dyDescent="0.3">
      <c r="B945" s="134">
        <v>43468</v>
      </c>
      <c r="C945" s="135">
        <v>10672.25</v>
      </c>
    </row>
    <row r="946" spans="2:3" x14ac:dyDescent="0.3">
      <c r="B946" s="134">
        <v>43469</v>
      </c>
      <c r="C946" s="135">
        <v>10727.35</v>
      </c>
    </row>
    <row r="947" spans="2:3" x14ac:dyDescent="0.3">
      <c r="B947" s="134">
        <v>43472</v>
      </c>
      <c r="C947" s="135">
        <v>10771.8</v>
      </c>
    </row>
    <row r="948" spans="2:3" x14ac:dyDescent="0.3">
      <c r="B948" s="134">
        <v>43473</v>
      </c>
      <c r="C948" s="135">
        <v>10802.15</v>
      </c>
    </row>
    <row r="949" spans="2:3" x14ac:dyDescent="0.3">
      <c r="B949" s="134">
        <v>43474</v>
      </c>
      <c r="C949" s="135">
        <v>10855.15</v>
      </c>
    </row>
    <row r="950" spans="2:3" x14ac:dyDescent="0.3">
      <c r="B950" s="134">
        <v>43475</v>
      </c>
      <c r="C950" s="135">
        <v>10821.6</v>
      </c>
    </row>
    <row r="951" spans="2:3" x14ac:dyDescent="0.3">
      <c r="B951" s="134">
        <v>43476</v>
      </c>
      <c r="C951" s="135">
        <v>10794.95</v>
      </c>
    </row>
    <row r="952" spans="2:3" x14ac:dyDescent="0.3">
      <c r="B952" s="134">
        <v>43479</v>
      </c>
      <c r="C952" s="135">
        <v>10737.6</v>
      </c>
    </row>
    <row r="953" spans="2:3" x14ac:dyDescent="0.3">
      <c r="B953" s="134">
        <v>43480</v>
      </c>
      <c r="C953" s="135">
        <v>10886.8</v>
      </c>
    </row>
    <row r="954" spans="2:3" x14ac:dyDescent="0.3">
      <c r="B954" s="134">
        <v>43481</v>
      </c>
      <c r="C954" s="135">
        <v>10890.3</v>
      </c>
    </row>
    <row r="955" spans="2:3" x14ac:dyDescent="0.3">
      <c r="B955" s="134">
        <v>43482</v>
      </c>
      <c r="C955" s="135">
        <v>10905.2</v>
      </c>
    </row>
    <row r="956" spans="2:3" x14ac:dyDescent="0.3">
      <c r="B956" s="134">
        <v>43483</v>
      </c>
      <c r="C956" s="135">
        <v>10906.95</v>
      </c>
    </row>
    <row r="957" spans="2:3" x14ac:dyDescent="0.3">
      <c r="B957" s="134">
        <v>43486</v>
      </c>
      <c r="C957" s="135">
        <v>10961.85</v>
      </c>
    </row>
    <row r="958" spans="2:3" x14ac:dyDescent="0.3">
      <c r="B958" s="134">
        <v>43487</v>
      </c>
      <c r="C958" s="135">
        <v>10922.75</v>
      </c>
    </row>
    <row r="959" spans="2:3" x14ac:dyDescent="0.3">
      <c r="B959" s="134">
        <v>43488</v>
      </c>
      <c r="C959" s="135">
        <v>10831.5</v>
      </c>
    </row>
    <row r="960" spans="2:3" x14ac:dyDescent="0.3">
      <c r="B960" s="134">
        <v>43489</v>
      </c>
      <c r="C960" s="135">
        <v>10849.8</v>
      </c>
    </row>
    <row r="961" spans="2:3" x14ac:dyDescent="0.3">
      <c r="B961" s="134">
        <v>43490</v>
      </c>
      <c r="C961" s="135">
        <v>10780.55</v>
      </c>
    </row>
    <row r="962" spans="2:3" x14ac:dyDescent="0.3">
      <c r="B962" s="134">
        <v>43493</v>
      </c>
      <c r="C962" s="135">
        <v>10661.55</v>
      </c>
    </row>
    <row r="963" spans="2:3" x14ac:dyDescent="0.3">
      <c r="B963" s="134">
        <v>43494</v>
      </c>
      <c r="C963" s="135">
        <v>10652.2</v>
      </c>
    </row>
    <row r="964" spans="2:3" x14ac:dyDescent="0.3">
      <c r="B964" s="134">
        <v>43495</v>
      </c>
      <c r="C964" s="135">
        <v>10651.8</v>
      </c>
    </row>
    <row r="965" spans="2:3" x14ac:dyDescent="0.3">
      <c r="B965" s="134">
        <v>43496</v>
      </c>
      <c r="C965" s="135">
        <v>10830.95</v>
      </c>
    </row>
    <row r="966" spans="2:3" x14ac:dyDescent="0.3">
      <c r="B966" s="134">
        <v>43497</v>
      </c>
      <c r="C966" s="135">
        <v>10893.65</v>
      </c>
    </row>
    <row r="967" spans="2:3" x14ac:dyDescent="0.3">
      <c r="B967" s="134">
        <v>43500</v>
      </c>
      <c r="C967" s="135">
        <v>10912.25</v>
      </c>
    </row>
    <row r="968" spans="2:3" x14ac:dyDescent="0.3">
      <c r="B968" s="134">
        <v>43501</v>
      </c>
      <c r="C968" s="135">
        <v>10934.35</v>
      </c>
    </row>
    <row r="969" spans="2:3" x14ac:dyDescent="0.3">
      <c r="B969" s="134">
        <v>43502</v>
      </c>
      <c r="C969" s="135">
        <v>11062.45</v>
      </c>
    </row>
    <row r="970" spans="2:3" x14ac:dyDescent="0.3">
      <c r="B970" s="134">
        <v>43503</v>
      </c>
      <c r="C970" s="135">
        <v>11069.4</v>
      </c>
    </row>
    <row r="971" spans="2:3" x14ac:dyDescent="0.3">
      <c r="B971" s="134">
        <v>43504</v>
      </c>
      <c r="C971" s="135">
        <v>10943.6</v>
      </c>
    </row>
    <row r="972" spans="2:3" x14ac:dyDescent="0.3">
      <c r="B972" s="134">
        <v>43507</v>
      </c>
      <c r="C972" s="135">
        <v>10888.8</v>
      </c>
    </row>
    <row r="973" spans="2:3" x14ac:dyDescent="0.3">
      <c r="B973" s="134">
        <v>43508</v>
      </c>
      <c r="C973" s="135">
        <v>10831.4</v>
      </c>
    </row>
    <row r="974" spans="2:3" x14ac:dyDescent="0.3">
      <c r="B974" s="134">
        <v>43510</v>
      </c>
      <c r="C974" s="135">
        <v>10746.05</v>
      </c>
    </row>
    <row r="975" spans="2:3" x14ac:dyDescent="0.3">
      <c r="B975" s="134">
        <v>43511</v>
      </c>
      <c r="C975" s="135">
        <v>10724.4</v>
      </c>
    </row>
    <row r="976" spans="2:3" x14ac:dyDescent="0.3">
      <c r="B976" s="134">
        <v>43514</v>
      </c>
      <c r="C976" s="135">
        <v>10640.95</v>
      </c>
    </row>
    <row r="977" spans="2:3" x14ac:dyDescent="0.3">
      <c r="B977" s="134">
        <v>43515</v>
      </c>
      <c r="C977" s="135">
        <v>10604.35</v>
      </c>
    </row>
    <row r="978" spans="2:3" x14ac:dyDescent="0.3">
      <c r="B978" s="134">
        <v>43516</v>
      </c>
      <c r="C978" s="135">
        <v>10735.45</v>
      </c>
    </row>
    <row r="979" spans="2:3" x14ac:dyDescent="0.3">
      <c r="B979" s="134">
        <v>43517</v>
      </c>
      <c r="C979" s="135">
        <v>10789.85</v>
      </c>
    </row>
    <row r="980" spans="2:3" x14ac:dyDescent="0.3">
      <c r="B980" s="134">
        <v>43518</v>
      </c>
      <c r="C980" s="135">
        <v>10791.65</v>
      </c>
    </row>
    <row r="981" spans="2:3" x14ac:dyDescent="0.3">
      <c r="B981" s="134">
        <v>43521</v>
      </c>
      <c r="C981" s="135">
        <v>10880.1</v>
      </c>
    </row>
    <row r="982" spans="2:3" x14ac:dyDescent="0.3">
      <c r="B982" s="134">
        <v>43522</v>
      </c>
      <c r="C982" s="135">
        <v>10835.3</v>
      </c>
    </row>
    <row r="983" spans="2:3" x14ac:dyDescent="0.3">
      <c r="B983" s="134">
        <v>43523</v>
      </c>
      <c r="C983" s="135">
        <v>10806.65</v>
      </c>
    </row>
    <row r="984" spans="2:3" x14ac:dyDescent="0.3">
      <c r="B984" s="134">
        <v>43524</v>
      </c>
      <c r="C984" s="135">
        <v>10792.5</v>
      </c>
    </row>
    <row r="985" spans="2:3" x14ac:dyDescent="0.3">
      <c r="B985" s="134">
        <v>43525</v>
      </c>
      <c r="C985" s="135">
        <v>10863.5</v>
      </c>
    </row>
    <row r="986" spans="2:3" x14ac:dyDescent="0.3">
      <c r="B986" s="134">
        <v>43529</v>
      </c>
      <c r="C986" s="135">
        <v>10987.45</v>
      </c>
    </row>
    <row r="987" spans="2:3" x14ac:dyDescent="0.3">
      <c r="B987" s="134">
        <v>43530</v>
      </c>
      <c r="C987" s="135">
        <v>11053</v>
      </c>
    </row>
    <row r="988" spans="2:3" x14ac:dyDescent="0.3">
      <c r="B988" s="134">
        <v>43531</v>
      </c>
      <c r="C988" s="135">
        <v>11058.2</v>
      </c>
    </row>
    <row r="989" spans="2:3" x14ac:dyDescent="0.3">
      <c r="B989" s="134">
        <v>43532</v>
      </c>
      <c r="C989" s="135">
        <v>11035.4</v>
      </c>
    </row>
    <row r="990" spans="2:3" x14ac:dyDescent="0.3">
      <c r="B990" s="134">
        <v>43535</v>
      </c>
      <c r="C990" s="135">
        <v>11168.05</v>
      </c>
    </row>
    <row r="991" spans="2:3" x14ac:dyDescent="0.3">
      <c r="B991" s="134">
        <v>43536</v>
      </c>
      <c r="C991" s="135">
        <v>11301.2</v>
      </c>
    </row>
    <row r="992" spans="2:3" x14ac:dyDescent="0.3">
      <c r="B992" s="134">
        <v>43537</v>
      </c>
      <c r="C992" s="135">
        <v>11341.7</v>
      </c>
    </row>
    <row r="993" spans="2:3" x14ac:dyDescent="0.3">
      <c r="B993" s="134">
        <v>43538</v>
      </c>
      <c r="C993" s="135">
        <v>11343.25</v>
      </c>
    </row>
    <row r="994" spans="2:3" x14ac:dyDescent="0.3">
      <c r="B994" s="134">
        <v>43539</v>
      </c>
      <c r="C994" s="135">
        <v>11426.85</v>
      </c>
    </row>
    <row r="995" spans="2:3" x14ac:dyDescent="0.3">
      <c r="B995" s="134">
        <v>43542</v>
      </c>
      <c r="C995" s="135">
        <v>11462.2</v>
      </c>
    </row>
    <row r="996" spans="2:3" x14ac:dyDescent="0.3">
      <c r="B996" s="134">
        <v>43543</v>
      </c>
      <c r="C996" s="135">
        <v>11532.4</v>
      </c>
    </row>
    <row r="997" spans="2:3" x14ac:dyDescent="0.3">
      <c r="B997" s="134">
        <v>43544</v>
      </c>
      <c r="C997" s="135">
        <v>11521.05</v>
      </c>
    </row>
    <row r="998" spans="2:3" x14ac:dyDescent="0.3">
      <c r="B998" s="134">
        <v>43546</v>
      </c>
      <c r="C998" s="135">
        <v>11456.9</v>
      </c>
    </row>
    <row r="999" spans="2:3" x14ac:dyDescent="0.3">
      <c r="B999" s="134">
        <v>43549</v>
      </c>
      <c r="C999" s="135">
        <v>11354.25</v>
      </c>
    </row>
    <row r="1000" spans="2:3" x14ac:dyDescent="0.3">
      <c r="B1000" s="134">
        <v>43550</v>
      </c>
      <c r="C1000" s="135">
        <v>11483.25</v>
      </c>
    </row>
    <row r="1001" spans="2:3" x14ac:dyDescent="0.3">
      <c r="B1001" s="134">
        <v>43551</v>
      </c>
      <c r="C1001" s="135">
        <v>11445.05</v>
      </c>
    </row>
    <row r="1002" spans="2:3" x14ac:dyDescent="0.3">
      <c r="B1002" s="134">
        <v>43552</v>
      </c>
      <c r="C1002" s="135">
        <v>11570</v>
      </c>
    </row>
    <row r="1003" spans="2:3" x14ac:dyDescent="0.3">
      <c r="B1003" s="134">
        <v>43556</v>
      </c>
      <c r="C1003" s="135">
        <v>11669.15</v>
      </c>
    </row>
    <row r="1004" spans="2:3" x14ac:dyDescent="0.3">
      <c r="B1004" s="134">
        <v>43557</v>
      </c>
      <c r="C1004" s="135">
        <v>11713.2</v>
      </c>
    </row>
    <row r="1005" spans="2:3" x14ac:dyDescent="0.3">
      <c r="B1005" s="134">
        <v>43558</v>
      </c>
      <c r="C1005" s="135">
        <v>11643.95</v>
      </c>
    </row>
    <row r="1006" spans="2:3" x14ac:dyDescent="0.3">
      <c r="B1006" s="134">
        <v>43559</v>
      </c>
      <c r="C1006" s="135">
        <v>11598</v>
      </c>
    </row>
    <row r="1007" spans="2:3" x14ac:dyDescent="0.3">
      <c r="B1007" s="134">
        <v>43560</v>
      </c>
      <c r="C1007" s="135">
        <v>11665.95</v>
      </c>
    </row>
    <row r="1008" spans="2:3" x14ac:dyDescent="0.3">
      <c r="B1008" s="134">
        <v>43563</v>
      </c>
      <c r="C1008" s="135">
        <v>11604.5</v>
      </c>
    </row>
    <row r="1009" spans="2:3" x14ac:dyDescent="0.3">
      <c r="B1009" s="134">
        <v>43564</v>
      </c>
      <c r="C1009" s="135">
        <v>11671.95</v>
      </c>
    </row>
    <row r="1010" spans="2:3" x14ac:dyDescent="0.3">
      <c r="B1010" s="134">
        <v>43565</v>
      </c>
      <c r="C1010" s="135">
        <v>11584.3</v>
      </c>
    </row>
    <row r="1011" spans="2:3" x14ac:dyDescent="0.3">
      <c r="B1011" s="134">
        <v>43566</v>
      </c>
      <c r="C1011" s="135">
        <v>11596.7</v>
      </c>
    </row>
    <row r="1012" spans="2:3" x14ac:dyDescent="0.3">
      <c r="B1012" s="134">
        <v>43567</v>
      </c>
      <c r="C1012" s="135">
        <v>11643.45</v>
      </c>
    </row>
    <row r="1013" spans="2:3" x14ac:dyDescent="0.3">
      <c r="B1013" s="134">
        <v>43570</v>
      </c>
      <c r="C1013" s="135">
        <v>11690.35</v>
      </c>
    </row>
    <row r="1014" spans="2:3" x14ac:dyDescent="0.3">
      <c r="B1014" s="134">
        <v>43571</v>
      </c>
      <c r="C1014" s="135">
        <v>11787.15</v>
      </c>
    </row>
    <row r="1015" spans="2:3" x14ac:dyDescent="0.3">
      <c r="B1015" s="134">
        <v>43573</v>
      </c>
      <c r="C1015" s="135">
        <v>11752.8</v>
      </c>
    </row>
    <row r="1016" spans="2:3" x14ac:dyDescent="0.3">
      <c r="B1016" s="134">
        <v>43577</v>
      </c>
      <c r="C1016" s="135">
        <v>11594.45</v>
      </c>
    </row>
    <row r="1017" spans="2:3" x14ac:dyDescent="0.3">
      <c r="B1017" s="134">
        <v>43578</v>
      </c>
      <c r="C1017" s="135">
        <v>11575.95</v>
      </c>
    </row>
    <row r="1018" spans="2:3" x14ac:dyDescent="0.3">
      <c r="B1018" s="134">
        <v>43579</v>
      </c>
      <c r="C1018" s="135">
        <v>11726.15</v>
      </c>
    </row>
    <row r="1019" spans="2:3" x14ac:dyDescent="0.3">
      <c r="B1019" s="134">
        <v>43580</v>
      </c>
      <c r="C1019" s="135">
        <v>11641.8</v>
      </c>
    </row>
    <row r="1020" spans="2:3" x14ac:dyDescent="0.3">
      <c r="B1020" s="134">
        <v>43581</v>
      </c>
      <c r="C1020" s="135">
        <v>11754.65</v>
      </c>
    </row>
    <row r="1021" spans="2:3" x14ac:dyDescent="0.3">
      <c r="B1021" s="134">
        <v>43585</v>
      </c>
      <c r="C1021" s="135">
        <v>11748.15</v>
      </c>
    </row>
    <row r="1022" spans="2:3" x14ac:dyDescent="0.3">
      <c r="B1022" s="134">
        <v>43587</v>
      </c>
      <c r="C1022" s="135">
        <v>11724.75</v>
      </c>
    </row>
    <row r="1023" spans="2:3" x14ac:dyDescent="0.3">
      <c r="B1023" s="134">
        <v>43588</v>
      </c>
      <c r="C1023" s="135">
        <v>11712.25</v>
      </c>
    </row>
    <row r="1024" spans="2:3" x14ac:dyDescent="0.3">
      <c r="B1024" s="134">
        <v>43591</v>
      </c>
      <c r="C1024" s="135">
        <v>11598.25</v>
      </c>
    </row>
    <row r="1025" spans="2:3" x14ac:dyDescent="0.3">
      <c r="B1025" s="134">
        <v>43592</v>
      </c>
      <c r="C1025" s="135">
        <v>11497.9</v>
      </c>
    </row>
    <row r="1026" spans="2:3" x14ac:dyDescent="0.3">
      <c r="B1026" s="134">
        <v>43593</v>
      </c>
      <c r="C1026" s="135">
        <v>11359.45</v>
      </c>
    </row>
    <row r="1027" spans="2:3" x14ac:dyDescent="0.3">
      <c r="B1027" s="134">
        <v>43594</v>
      </c>
      <c r="C1027" s="135">
        <v>11301.8</v>
      </c>
    </row>
    <row r="1028" spans="2:3" x14ac:dyDescent="0.3">
      <c r="B1028" s="134">
        <v>43595</v>
      </c>
      <c r="C1028" s="135">
        <v>11278.9</v>
      </c>
    </row>
    <row r="1029" spans="2:3" x14ac:dyDescent="0.3">
      <c r="B1029" s="134">
        <v>43598</v>
      </c>
      <c r="C1029" s="135">
        <v>11148.2</v>
      </c>
    </row>
    <row r="1030" spans="2:3" x14ac:dyDescent="0.3">
      <c r="B1030" s="134">
        <v>43599</v>
      </c>
      <c r="C1030" s="135">
        <v>11222.05</v>
      </c>
    </row>
    <row r="1031" spans="2:3" x14ac:dyDescent="0.3">
      <c r="B1031" s="134">
        <v>43600</v>
      </c>
      <c r="C1031" s="135">
        <v>11157</v>
      </c>
    </row>
    <row r="1032" spans="2:3" x14ac:dyDescent="0.3">
      <c r="B1032" s="134">
        <v>43601</v>
      </c>
      <c r="C1032" s="135">
        <v>11257.1</v>
      </c>
    </row>
    <row r="1033" spans="2:3" x14ac:dyDescent="0.3">
      <c r="B1033" s="134">
        <v>43602</v>
      </c>
      <c r="C1033" s="135">
        <v>11407.15</v>
      </c>
    </row>
    <row r="1034" spans="2:3" x14ac:dyDescent="0.3">
      <c r="B1034" s="134">
        <v>43605</v>
      </c>
      <c r="C1034" s="135">
        <v>11828.25</v>
      </c>
    </row>
    <row r="1035" spans="2:3" x14ac:dyDescent="0.3">
      <c r="B1035" s="134">
        <v>43606</v>
      </c>
      <c r="C1035" s="135">
        <v>11709.1</v>
      </c>
    </row>
    <row r="1036" spans="2:3" x14ac:dyDescent="0.3">
      <c r="B1036" s="134">
        <v>43607</v>
      </c>
      <c r="C1036" s="135">
        <v>11737.9</v>
      </c>
    </row>
    <row r="1037" spans="2:3" x14ac:dyDescent="0.3">
      <c r="B1037" s="134">
        <v>43608</v>
      </c>
      <c r="C1037" s="135">
        <v>11657.05</v>
      </c>
    </row>
    <row r="1038" spans="2:3" x14ac:dyDescent="0.3">
      <c r="B1038" s="134">
        <v>43609</v>
      </c>
      <c r="C1038" s="135">
        <v>11844.1</v>
      </c>
    </row>
    <row r="1039" spans="2:3" x14ac:dyDescent="0.3">
      <c r="B1039" s="134">
        <v>43612</v>
      </c>
      <c r="C1039" s="135">
        <v>11924.75</v>
      </c>
    </row>
    <row r="1040" spans="2:3" x14ac:dyDescent="0.3">
      <c r="B1040" s="134">
        <v>43613</v>
      </c>
      <c r="C1040" s="135">
        <v>11928.75</v>
      </c>
    </row>
    <row r="1041" spans="2:3" x14ac:dyDescent="0.3">
      <c r="B1041" s="134">
        <v>43614</v>
      </c>
      <c r="C1041" s="135">
        <v>11861.1</v>
      </c>
    </row>
    <row r="1042" spans="2:3" x14ac:dyDescent="0.3">
      <c r="B1042" s="134">
        <v>43615</v>
      </c>
      <c r="C1042" s="135">
        <v>11945.9</v>
      </c>
    </row>
    <row r="1043" spans="2:3" x14ac:dyDescent="0.3">
      <c r="B1043" s="134">
        <v>43616</v>
      </c>
      <c r="C1043" s="135">
        <v>11922.8</v>
      </c>
    </row>
    <row r="1044" spans="2:3" x14ac:dyDescent="0.3">
      <c r="B1044" s="134">
        <v>43619</v>
      </c>
      <c r="C1044" s="135">
        <v>12088.55</v>
      </c>
    </row>
    <row r="1045" spans="2:3" x14ac:dyDescent="0.3">
      <c r="B1045" s="134">
        <v>43620</v>
      </c>
      <c r="C1045" s="135">
        <v>12021.65</v>
      </c>
    </row>
    <row r="1046" spans="2:3" x14ac:dyDescent="0.3">
      <c r="B1046" s="134">
        <v>43622</v>
      </c>
      <c r="C1046" s="135">
        <v>11843.75</v>
      </c>
    </row>
    <row r="1047" spans="2:3" x14ac:dyDescent="0.3">
      <c r="B1047" s="134">
        <v>43623</v>
      </c>
      <c r="C1047" s="135">
        <v>11870.65</v>
      </c>
    </row>
    <row r="1048" spans="2:3" x14ac:dyDescent="0.3">
      <c r="B1048" s="134">
        <v>43626</v>
      </c>
      <c r="C1048" s="135">
        <v>11922.7</v>
      </c>
    </row>
    <row r="1049" spans="2:3" x14ac:dyDescent="0.3">
      <c r="B1049" s="134">
        <v>43627</v>
      </c>
      <c r="C1049" s="135">
        <v>11965.6</v>
      </c>
    </row>
    <row r="1050" spans="2:3" x14ac:dyDescent="0.3">
      <c r="B1050" s="134">
        <v>43628</v>
      </c>
      <c r="C1050" s="135">
        <v>11906.2</v>
      </c>
    </row>
    <row r="1051" spans="2:3" x14ac:dyDescent="0.3">
      <c r="B1051" s="134">
        <v>43629</v>
      </c>
      <c r="C1051" s="135">
        <v>11914.05</v>
      </c>
    </row>
    <row r="1052" spans="2:3" x14ac:dyDescent="0.3">
      <c r="B1052" s="134">
        <v>43630</v>
      </c>
      <c r="C1052" s="135">
        <v>11823.3</v>
      </c>
    </row>
    <row r="1053" spans="2:3" x14ac:dyDescent="0.3">
      <c r="B1053" s="134">
        <v>43633</v>
      </c>
      <c r="C1053" s="135">
        <v>11672.15</v>
      </c>
    </row>
    <row r="1054" spans="2:3" x14ac:dyDescent="0.3">
      <c r="B1054" s="134">
        <v>43634</v>
      </c>
      <c r="C1054" s="135">
        <v>11691.5</v>
      </c>
    </row>
    <row r="1055" spans="2:3" x14ac:dyDescent="0.3">
      <c r="B1055" s="134">
        <v>43635</v>
      </c>
      <c r="C1055" s="135">
        <v>11691.45</v>
      </c>
    </row>
    <row r="1056" spans="2:3" x14ac:dyDescent="0.3">
      <c r="B1056" s="134">
        <v>43636</v>
      </c>
      <c r="C1056" s="135">
        <v>11831.75</v>
      </c>
    </row>
    <row r="1057" spans="2:3" x14ac:dyDescent="0.3">
      <c r="B1057" s="134">
        <v>43637</v>
      </c>
      <c r="C1057" s="135">
        <v>11724.1</v>
      </c>
    </row>
    <row r="1058" spans="2:3" x14ac:dyDescent="0.3">
      <c r="B1058" s="134">
        <v>43640</v>
      </c>
      <c r="C1058" s="135">
        <v>11699.65</v>
      </c>
    </row>
    <row r="1059" spans="2:3" x14ac:dyDescent="0.3">
      <c r="B1059" s="134">
        <v>43641</v>
      </c>
      <c r="C1059" s="135">
        <v>11796.45</v>
      </c>
    </row>
    <row r="1060" spans="2:3" x14ac:dyDescent="0.3">
      <c r="B1060" s="134">
        <v>43642</v>
      </c>
      <c r="C1060" s="135">
        <v>11847.55</v>
      </c>
    </row>
    <row r="1061" spans="2:3" x14ac:dyDescent="0.3">
      <c r="B1061" s="134">
        <v>43643</v>
      </c>
      <c r="C1061" s="135">
        <v>11841.55</v>
      </c>
    </row>
    <row r="1062" spans="2:3" x14ac:dyDescent="0.3">
      <c r="B1062" s="134">
        <v>43644</v>
      </c>
      <c r="C1062" s="135">
        <v>11788.85</v>
      </c>
    </row>
    <row r="1063" spans="2:3" x14ac:dyDescent="0.3">
      <c r="B1063" s="134">
        <v>43647</v>
      </c>
      <c r="C1063" s="135">
        <v>11865.6</v>
      </c>
    </row>
    <row r="1064" spans="2:3" x14ac:dyDescent="0.3">
      <c r="B1064" s="134">
        <v>43648</v>
      </c>
      <c r="C1064" s="135">
        <v>11910.3</v>
      </c>
    </row>
    <row r="1065" spans="2:3" x14ac:dyDescent="0.3">
      <c r="B1065" s="134">
        <v>43649</v>
      </c>
      <c r="C1065" s="135">
        <v>11916.75</v>
      </c>
    </row>
    <row r="1066" spans="2:3" x14ac:dyDescent="0.3">
      <c r="B1066" s="134">
        <v>43650</v>
      </c>
      <c r="C1066" s="135">
        <v>11946.75</v>
      </c>
    </row>
    <row r="1067" spans="2:3" x14ac:dyDescent="0.3">
      <c r="B1067" s="134">
        <v>43651</v>
      </c>
      <c r="C1067" s="135">
        <v>11811.15</v>
      </c>
    </row>
    <row r="1068" spans="2:3" x14ac:dyDescent="0.3">
      <c r="B1068" s="134">
        <v>43654</v>
      </c>
      <c r="C1068" s="135">
        <v>11558.6</v>
      </c>
    </row>
    <row r="1069" spans="2:3" x14ac:dyDescent="0.3">
      <c r="B1069" s="134">
        <v>43655</v>
      </c>
      <c r="C1069" s="135">
        <v>11555.9</v>
      </c>
    </row>
    <row r="1070" spans="2:3" x14ac:dyDescent="0.3">
      <c r="B1070" s="134">
        <v>43656</v>
      </c>
      <c r="C1070" s="135">
        <v>11498.9</v>
      </c>
    </row>
    <row r="1071" spans="2:3" x14ac:dyDescent="0.3">
      <c r="B1071" s="134">
        <v>43657</v>
      </c>
      <c r="C1071" s="135">
        <v>11582.9</v>
      </c>
    </row>
    <row r="1072" spans="2:3" x14ac:dyDescent="0.3">
      <c r="B1072" s="134">
        <v>43658</v>
      </c>
      <c r="C1072" s="135">
        <v>11552.5</v>
      </c>
    </row>
    <row r="1073" spans="2:3" x14ac:dyDescent="0.3">
      <c r="B1073" s="134">
        <v>43661</v>
      </c>
      <c r="C1073" s="135">
        <v>11588.35</v>
      </c>
    </row>
    <row r="1074" spans="2:3" x14ac:dyDescent="0.3">
      <c r="B1074" s="134">
        <v>43662</v>
      </c>
      <c r="C1074" s="135">
        <v>11662.6</v>
      </c>
    </row>
    <row r="1075" spans="2:3" x14ac:dyDescent="0.3">
      <c r="B1075" s="134">
        <v>43663</v>
      </c>
      <c r="C1075" s="135">
        <v>11687.5</v>
      </c>
    </row>
    <row r="1076" spans="2:3" x14ac:dyDescent="0.3">
      <c r="B1076" s="134">
        <v>43664</v>
      </c>
      <c r="C1076" s="135">
        <v>11596.9</v>
      </c>
    </row>
    <row r="1077" spans="2:3" x14ac:dyDescent="0.3">
      <c r="B1077" s="134">
        <v>43665</v>
      </c>
      <c r="C1077" s="135">
        <v>11419.25</v>
      </c>
    </row>
    <row r="1078" spans="2:3" x14ac:dyDescent="0.3">
      <c r="B1078" s="134">
        <v>43668</v>
      </c>
      <c r="C1078" s="135">
        <v>11346.2</v>
      </c>
    </row>
    <row r="1079" spans="2:3" x14ac:dyDescent="0.3">
      <c r="B1079" s="134">
        <v>43669</v>
      </c>
      <c r="C1079" s="135">
        <v>11331.05</v>
      </c>
    </row>
    <row r="1080" spans="2:3" x14ac:dyDescent="0.3">
      <c r="B1080" s="134">
        <v>43670</v>
      </c>
      <c r="C1080" s="135">
        <v>11271.3</v>
      </c>
    </row>
    <row r="1081" spans="2:3" x14ac:dyDescent="0.3">
      <c r="B1081" s="134">
        <v>43671</v>
      </c>
      <c r="C1081" s="135">
        <v>11252.15</v>
      </c>
    </row>
    <row r="1082" spans="2:3" x14ac:dyDescent="0.3">
      <c r="B1082" s="134">
        <v>43672</v>
      </c>
      <c r="C1082" s="135">
        <v>11284.3</v>
      </c>
    </row>
    <row r="1083" spans="2:3" x14ac:dyDescent="0.3">
      <c r="B1083" s="134">
        <v>43675</v>
      </c>
      <c r="C1083" s="135">
        <v>11189.2</v>
      </c>
    </row>
    <row r="1084" spans="2:3" x14ac:dyDescent="0.3">
      <c r="B1084" s="134">
        <v>43676</v>
      </c>
      <c r="C1084" s="135">
        <v>11085.4</v>
      </c>
    </row>
    <row r="1085" spans="2:3" x14ac:dyDescent="0.3">
      <c r="B1085" s="134">
        <v>43677</v>
      </c>
      <c r="C1085" s="135">
        <v>11118</v>
      </c>
    </row>
    <row r="1086" spans="2:3" x14ac:dyDescent="0.3">
      <c r="B1086" s="134">
        <v>43678</v>
      </c>
      <c r="C1086" s="135">
        <v>10980</v>
      </c>
    </row>
    <row r="1087" spans="2:3" x14ac:dyDescent="0.3">
      <c r="B1087" s="134">
        <v>43679</v>
      </c>
      <c r="C1087" s="135">
        <v>10997.35</v>
      </c>
    </row>
    <row r="1088" spans="2:3" x14ac:dyDescent="0.3">
      <c r="B1088" s="134">
        <v>43682</v>
      </c>
      <c r="C1088" s="135">
        <v>10862.6</v>
      </c>
    </row>
    <row r="1089" spans="2:3" x14ac:dyDescent="0.3">
      <c r="B1089" s="134">
        <v>43683</v>
      </c>
      <c r="C1089" s="135">
        <v>10948.25</v>
      </c>
    </row>
    <row r="1090" spans="2:3" x14ac:dyDescent="0.3">
      <c r="B1090" s="134">
        <v>43684</v>
      </c>
      <c r="C1090" s="135">
        <v>10855.5</v>
      </c>
    </row>
    <row r="1091" spans="2:3" x14ac:dyDescent="0.3">
      <c r="B1091" s="134">
        <v>43685</v>
      </c>
      <c r="C1091" s="135">
        <v>11032.45</v>
      </c>
    </row>
    <row r="1092" spans="2:3" x14ac:dyDescent="0.3">
      <c r="B1092" s="134">
        <v>43686</v>
      </c>
      <c r="C1092" s="135">
        <v>11109.65</v>
      </c>
    </row>
    <row r="1093" spans="2:3" x14ac:dyDescent="0.3">
      <c r="B1093" s="134">
        <v>43690</v>
      </c>
      <c r="C1093" s="135">
        <v>10925.85</v>
      </c>
    </row>
    <row r="1094" spans="2:3" x14ac:dyDescent="0.3">
      <c r="B1094" s="134">
        <v>43691</v>
      </c>
      <c r="C1094" s="135">
        <v>11029.4</v>
      </c>
    </row>
    <row r="1095" spans="2:3" x14ac:dyDescent="0.3">
      <c r="B1095" s="134">
        <v>43693</v>
      </c>
      <c r="C1095" s="135">
        <v>11047.8</v>
      </c>
    </row>
    <row r="1096" spans="2:3" x14ac:dyDescent="0.3">
      <c r="B1096" s="134">
        <v>43696</v>
      </c>
      <c r="C1096" s="135">
        <v>11053.9</v>
      </c>
    </row>
    <row r="1097" spans="2:3" x14ac:dyDescent="0.3">
      <c r="B1097" s="134">
        <v>43697</v>
      </c>
      <c r="C1097" s="135">
        <v>11017</v>
      </c>
    </row>
    <row r="1098" spans="2:3" x14ac:dyDescent="0.3">
      <c r="B1098" s="134">
        <v>43698</v>
      </c>
      <c r="C1098" s="135">
        <v>10918.7</v>
      </c>
    </row>
    <row r="1099" spans="2:3" x14ac:dyDescent="0.3">
      <c r="B1099" s="134">
        <v>43699</v>
      </c>
      <c r="C1099" s="135">
        <v>10741.35</v>
      </c>
    </row>
    <row r="1100" spans="2:3" x14ac:dyDescent="0.3">
      <c r="B1100" s="134">
        <v>43700</v>
      </c>
      <c r="C1100" s="135">
        <v>10829.35</v>
      </c>
    </row>
    <row r="1101" spans="2:3" x14ac:dyDescent="0.3">
      <c r="B1101" s="134">
        <v>43703</v>
      </c>
      <c r="C1101" s="135">
        <v>11057.85</v>
      </c>
    </row>
    <row r="1102" spans="2:3" x14ac:dyDescent="0.3">
      <c r="B1102" s="134">
        <v>43704</v>
      </c>
      <c r="C1102" s="135">
        <v>11105.35</v>
      </c>
    </row>
    <row r="1103" spans="2:3" x14ac:dyDescent="0.3">
      <c r="B1103" s="134">
        <v>43705</v>
      </c>
      <c r="C1103" s="135">
        <v>11046.1</v>
      </c>
    </row>
    <row r="1104" spans="2:3" x14ac:dyDescent="0.3">
      <c r="B1104" s="134">
        <v>43706</v>
      </c>
      <c r="C1104" s="135">
        <v>10948.3</v>
      </c>
    </row>
    <row r="1105" spans="2:3" x14ac:dyDescent="0.3">
      <c r="B1105" s="134">
        <v>43707</v>
      </c>
      <c r="C1105" s="135">
        <v>11023.25</v>
      </c>
    </row>
    <row r="1106" spans="2:3" x14ac:dyDescent="0.3">
      <c r="B1106" s="134">
        <v>43711</v>
      </c>
      <c r="C1106" s="135">
        <v>10797.9</v>
      </c>
    </row>
    <row r="1107" spans="2:3" x14ac:dyDescent="0.3">
      <c r="B1107" s="134">
        <v>43712</v>
      </c>
      <c r="C1107" s="135">
        <v>10844.65</v>
      </c>
    </row>
    <row r="1108" spans="2:3" x14ac:dyDescent="0.3">
      <c r="B1108" s="134">
        <v>43713</v>
      </c>
      <c r="C1108" s="135">
        <v>10847.9</v>
      </c>
    </row>
    <row r="1109" spans="2:3" x14ac:dyDescent="0.3">
      <c r="B1109" s="134">
        <v>43714</v>
      </c>
      <c r="C1109" s="135">
        <v>10946.2</v>
      </c>
    </row>
    <row r="1110" spans="2:3" x14ac:dyDescent="0.3">
      <c r="B1110" s="134">
        <v>43717</v>
      </c>
      <c r="C1110" s="135">
        <v>11003.05</v>
      </c>
    </row>
    <row r="1111" spans="2:3" x14ac:dyDescent="0.3">
      <c r="B1111" s="134">
        <v>43719</v>
      </c>
      <c r="C1111" s="135">
        <v>11035.7</v>
      </c>
    </row>
    <row r="1112" spans="2:3" x14ac:dyDescent="0.3">
      <c r="B1112" s="134">
        <v>43720</v>
      </c>
      <c r="C1112" s="135">
        <v>10982.8</v>
      </c>
    </row>
    <row r="1113" spans="2:3" x14ac:dyDescent="0.3">
      <c r="B1113" s="134">
        <v>43721</v>
      </c>
      <c r="C1113" s="135">
        <v>11075.9</v>
      </c>
    </row>
    <row r="1114" spans="2:3" x14ac:dyDescent="0.3">
      <c r="B1114" s="134">
        <v>43724</v>
      </c>
      <c r="C1114" s="135">
        <v>11003.5</v>
      </c>
    </row>
    <row r="1115" spans="2:3" x14ac:dyDescent="0.3">
      <c r="B1115" s="134">
        <v>43725</v>
      </c>
      <c r="C1115" s="135">
        <v>10817.6</v>
      </c>
    </row>
    <row r="1116" spans="2:3" x14ac:dyDescent="0.3">
      <c r="B1116" s="134">
        <v>43726</v>
      </c>
      <c r="C1116" s="135">
        <v>10840.65</v>
      </c>
    </row>
    <row r="1117" spans="2:3" x14ac:dyDescent="0.3">
      <c r="B1117" s="134">
        <v>43727</v>
      </c>
      <c r="C1117" s="135">
        <v>10704.8</v>
      </c>
    </row>
    <row r="1118" spans="2:3" x14ac:dyDescent="0.3">
      <c r="B1118" s="134">
        <v>43728</v>
      </c>
      <c r="C1118" s="135">
        <v>11274.2</v>
      </c>
    </row>
    <row r="1119" spans="2:3" x14ac:dyDescent="0.3">
      <c r="B1119" s="134">
        <v>43731</v>
      </c>
      <c r="C1119" s="135">
        <v>11600.2</v>
      </c>
    </row>
    <row r="1120" spans="2:3" x14ac:dyDescent="0.3">
      <c r="B1120" s="134">
        <v>43732</v>
      </c>
      <c r="C1120" s="135">
        <v>11588.2</v>
      </c>
    </row>
    <row r="1121" spans="2:3" x14ac:dyDescent="0.3">
      <c r="B1121" s="134">
        <v>43733</v>
      </c>
      <c r="C1121" s="135">
        <v>11440.2</v>
      </c>
    </row>
    <row r="1122" spans="2:3" x14ac:dyDescent="0.3">
      <c r="B1122" s="134">
        <v>43734</v>
      </c>
      <c r="C1122" s="135">
        <v>11571.2</v>
      </c>
    </row>
    <row r="1123" spans="2:3" x14ac:dyDescent="0.3">
      <c r="B1123" s="134">
        <v>43735</v>
      </c>
      <c r="C1123" s="135">
        <v>11512.4</v>
      </c>
    </row>
    <row r="1124" spans="2:3" x14ac:dyDescent="0.3">
      <c r="B1124" s="134">
        <v>43738</v>
      </c>
      <c r="C1124" s="135">
        <v>11474.45</v>
      </c>
    </row>
    <row r="1125" spans="2:3" x14ac:dyDescent="0.3">
      <c r="B1125" s="134">
        <v>43739</v>
      </c>
      <c r="C1125" s="135">
        <v>11359.9</v>
      </c>
    </row>
    <row r="1126" spans="2:3" x14ac:dyDescent="0.3">
      <c r="B1126" s="134">
        <v>43741</v>
      </c>
      <c r="C1126" s="135">
        <v>11314</v>
      </c>
    </row>
    <row r="1127" spans="2:3" x14ac:dyDescent="0.3">
      <c r="B1127" s="134">
        <v>43742</v>
      </c>
      <c r="C1127" s="135">
        <v>11174.75</v>
      </c>
    </row>
    <row r="1128" spans="2:3" x14ac:dyDescent="0.3">
      <c r="B1128" s="134">
        <v>43745</v>
      </c>
      <c r="C1128" s="135">
        <v>11126.4</v>
      </c>
    </row>
    <row r="1129" spans="2:3" x14ac:dyDescent="0.3">
      <c r="B1129" s="134">
        <v>43747</v>
      </c>
      <c r="C1129" s="135">
        <v>11313.3</v>
      </c>
    </row>
    <row r="1130" spans="2:3" x14ac:dyDescent="0.3">
      <c r="B1130" s="134">
        <v>43748</v>
      </c>
      <c r="C1130" s="135">
        <v>11234.55</v>
      </c>
    </row>
    <row r="1131" spans="2:3" x14ac:dyDescent="0.3">
      <c r="B1131" s="134">
        <v>43749</v>
      </c>
      <c r="C1131" s="135">
        <v>11305.05</v>
      </c>
    </row>
    <row r="1132" spans="2:3" x14ac:dyDescent="0.3">
      <c r="B1132" s="134">
        <v>43752</v>
      </c>
      <c r="C1132" s="135">
        <v>11341.15</v>
      </c>
    </row>
    <row r="1133" spans="2:3" x14ac:dyDescent="0.3">
      <c r="B1133" s="134">
        <v>43753</v>
      </c>
      <c r="C1133" s="135">
        <v>11428.3</v>
      </c>
    </row>
    <row r="1134" spans="2:3" x14ac:dyDescent="0.3">
      <c r="B1134" s="134">
        <v>43754</v>
      </c>
      <c r="C1134" s="135">
        <v>11464</v>
      </c>
    </row>
    <row r="1135" spans="2:3" x14ac:dyDescent="0.3">
      <c r="B1135" s="134">
        <v>43755</v>
      </c>
      <c r="C1135" s="135">
        <v>11586.35</v>
      </c>
    </row>
    <row r="1136" spans="2:3" x14ac:dyDescent="0.3">
      <c r="B1136" s="134">
        <v>43756</v>
      </c>
      <c r="C1136" s="135">
        <v>11661.85</v>
      </c>
    </row>
    <row r="1137" spans="2:3" x14ac:dyDescent="0.3">
      <c r="B1137" s="134">
        <v>43760</v>
      </c>
      <c r="C1137" s="135">
        <v>11588.35</v>
      </c>
    </row>
    <row r="1138" spans="2:3" x14ac:dyDescent="0.3">
      <c r="B1138" s="134">
        <v>43761</v>
      </c>
      <c r="C1138" s="135">
        <v>11604.1</v>
      </c>
    </row>
    <row r="1139" spans="2:3" x14ac:dyDescent="0.3">
      <c r="B1139" s="134">
        <v>43762</v>
      </c>
      <c r="C1139" s="135">
        <v>11582.6</v>
      </c>
    </row>
    <row r="1140" spans="2:3" x14ac:dyDescent="0.3">
      <c r="B1140" s="134">
        <v>43763</v>
      </c>
      <c r="C1140" s="135">
        <v>11583.9</v>
      </c>
    </row>
    <row r="1141" spans="2:3" x14ac:dyDescent="0.3">
      <c r="B1141" s="134">
        <v>43767</v>
      </c>
      <c r="C1141" s="135">
        <v>11786.85</v>
      </c>
    </row>
    <row r="1142" spans="2:3" x14ac:dyDescent="0.3">
      <c r="B1142" s="134">
        <v>43768</v>
      </c>
      <c r="C1142" s="135">
        <v>11844.1</v>
      </c>
    </row>
    <row r="1143" spans="2:3" x14ac:dyDescent="0.3">
      <c r="B1143" s="134">
        <v>43769</v>
      </c>
      <c r="C1143" s="135">
        <v>11877.45</v>
      </c>
    </row>
    <row r="1144" spans="2:3" x14ac:dyDescent="0.3">
      <c r="B1144" s="134">
        <v>43770</v>
      </c>
      <c r="C1144" s="135">
        <v>11890.6</v>
      </c>
    </row>
    <row r="1145" spans="2:3" x14ac:dyDescent="0.3">
      <c r="B1145" s="134">
        <v>43773</v>
      </c>
      <c r="C1145" s="135">
        <v>11941.3</v>
      </c>
    </row>
    <row r="1146" spans="2:3" x14ac:dyDescent="0.3">
      <c r="B1146" s="134">
        <v>43774</v>
      </c>
      <c r="C1146" s="135">
        <v>11917.2</v>
      </c>
    </row>
    <row r="1147" spans="2:3" x14ac:dyDescent="0.3">
      <c r="B1147" s="134">
        <v>43775</v>
      </c>
      <c r="C1147" s="135">
        <v>11966.05</v>
      </c>
    </row>
    <row r="1148" spans="2:3" x14ac:dyDescent="0.3">
      <c r="B1148" s="134">
        <v>43776</v>
      </c>
      <c r="C1148" s="135">
        <v>12012.05</v>
      </c>
    </row>
    <row r="1149" spans="2:3" x14ac:dyDescent="0.3">
      <c r="B1149" s="134">
        <v>43777</v>
      </c>
      <c r="C1149" s="135">
        <v>11908.15</v>
      </c>
    </row>
    <row r="1150" spans="2:3" x14ac:dyDescent="0.3">
      <c r="B1150" s="134">
        <v>43780</v>
      </c>
      <c r="C1150" s="135">
        <v>11913.45</v>
      </c>
    </row>
    <row r="1151" spans="2:3" x14ac:dyDescent="0.3">
      <c r="B1151" s="134">
        <v>43782</v>
      </c>
      <c r="C1151" s="135">
        <v>11840.45</v>
      </c>
    </row>
    <row r="1152" spans="2:3" x14ac:dyDescent="0.3">
      <c r="B1152" s="134">
        <v>43783</v>
      </c>
      <c r="C1152" s="135">
        <v>11872.1</v>
      </c>
    </row>
    <row r="1153" spans="2:3" x14ac:dyDescent="0.3">
      <c r="B1153" s="134">
        <v>43784</v>
      </c>
      <c r="C1153" s="135">
        <v>11895.45</v>
      </c>
    </row>
    <row r="1154" spans="2:3" x14ac:dyDescent="0.3">
      <c r="B1154" s="134">
        <v>43787</v>
      </c>
      <c r="C1154" s="135">
        <v>11884.5</v>
      </c>
    </row>
    <row r="1155" spans="2:3" x14ac:dyDescent="0.3">
      <c r="B1155" s="134">
        <v>43788</v>
      </c>
      <c r="C1155" s="135">
        <v>11940.1</v>
      </c>
    </row>
    <row r="1156" spans="2:3" x14ac:dyDescent="0.3">
      <c r="B1156" s="134">
        <v>43789</v>
      </c>
      <c r="C1156" s="135">
        <v>11999.1</v>
      </c>
    </row>
    <row r="1157" spans="2:3" x14ac:dyDescent="0.3">
      <c r="B1157" s="134">
        <v>43790</v>
      </c>
      <c r="C1157" s="135">
        <v>11968.4</v>
      </c>
    </row>
    <row r="1158" spans="2:3" x14ac:dyDescent="0.3">
      <c r="B1158" s="134">
        <v>43791</v>
      </c>
      <c r="C1158" s="135">
        <v>11914.4</v>
      </c>
    </row>
    <row r="1159" spans="2:3" x14ac:dyDescent="0.3">
      <c r="B1159" s="134">
        <v>43794</v>
      </c>
      <c r="C1159" s="135">
        <v>12073.75</v>
      </c>
    </row>
    <row r="1160" spans="2:3" x14ac:dyDescent="0.3">
      <c r="B1160" s="134">
        <v>43795</v>
      </c>
      <c r="C1160" s="135">
        <v>12037.7</v>
      </c>
    </row>
    <row r="1161" spans="2:3" x14ac:dyDescent="0.3">
      <c r="B1161" s="134">
        <v>43796</v>
      </c>
      <c r="C1161" s="135">
        <v>12100.7</v>
      </c>
    </row>
    <row r="1162" spans="2:3" x14ac:dyDescent="0.3">
      <c r="B1162" s="134">
        <v>43797</v>
      </c>
      <c r="C1162" s="135">
        <v>12151.15</v>
      </c>
    </row>
    <row r="1163" spans="2:3" x14ac:dyDescent="0.3">
      <c r="B1163" s="134">
        <v>43798</v>
      </c>
      <c r="C1163" s="135">
        <v>12056.05</v>
      </c>
    </row>
    <row r="1164" spans="2:3" x14ac:dyDescent="0.3">
      <c r="B1164" s="134">
        <v>43801</v>
      </c>
      <c r="C1164" s="135">
        <v>12048.2</v>
      </c>
    </row>
    <row r="1165" spans="2:3" x14ac:dyDescent="0.3">
      <c r="B1165" s="134">
        <v>43802</v>
      </c>
      <c r="C1165" s="135">
        <v>11994.2</v>
      </c>
    </row>
    <row r="1166" spans="2:3" x14ac:dyDescent="0.3">
      <c r="B1166" s="134">
        <v>43803</v>
      </c>
      <c r="C1166" s="135">
        <v>12043.2</v>
      </c>
    </row>
    <row r="1167" spans="2:3" x14ac:dyDescent="0.3">
      <c r="B1167" s="134">
        <v>43804</v>
      </c>
      <c r="C1167" s="135">
        <v>12018.4</v>
      </c>
    </row>
    <row r="1168" spans="2:3" x14ac:dyDescent="0.3">
      <c r="B1168" s="134">
        <v>43805</v>
      </c>
      <c r="C1168" s="135">
        <v>11921.5</v>
      </c>
    </row>
    <row r="1169" spans="2:3" x14ac:dyDescent="0.3">
      <c r="B1169" s="134">
        <v>43808</v>
      </c>
      <c r="C1169" s="135">
        <v>11937.5</v>
      </c>
    </row>
    <row r="1170" spans="2:3" x14ac:dyDescent="0.3">
      <c r="B1170" s="134">
        <v>43809</v>
      </c>
      <c r="C1170" s="135">
        <v>11856.8</v>
      </c>
    </row>
    <row r="1171" spans="2:3" x14ac:dyDescent="0.3">
      <c r="B1171" s="134">
        <v>43810</v>
      </c>
      <c r="C1171" s="135">
        <v>11910.15</v>
      </c>
    </row>
    <row r="1172" spans="2:3" x14ac:dyDescent="0.3">
      <c r="B1172" s="134">
        <v>43811</v>
      </c>
      <c r="C1172" s="135">
        <v>11971.8</v>
      </c>
    </row>
    <row r="1173" spans="2:3" x14ac:dyDescent="0.3">
      <c r="B1173" s="134">
        <v>43812</v>
      </c>
      <c r="C1173" s="135">
        <v>12086.7</v>
      </c>
    </row>
    <row r="1174" spans="2:3" x14ac:dyDescent="0.3">
      <c r="B1174" s="134">
        <v>43815</v>
      </c>
      <c r="C1174" s="135">
        <v>12053.95</v>
      </c>
    </row>
    <row r="1175" spans="2:3" x14ac:dyDescent="0.3">
      <c r="B1175" s="134">
        <v>43816</v>
      </c>
      <c r="C1175" s="135">
        <v>12165</v>
      </c>
    </row>
    <row r="1176" spans="2:3" x14ac:dyDescent="0.3">
      <c r="B1176" s="134">
        <v>43817</v>
      </c>
      <c r="C1176" s="135">
        <v>12221.65</v>
      </c>
    </row>
    <row r="1177" spans="2:3" x14ac:dyDescent="0.3">
      <c r="B1177" s="134">
        <v>43818</v>
      </c>
      <c r="C1177" s="135">
        <v>12259.7</v>
      </c>
    </row>
    <row r="1178" spans="2:3" x14ac:dyDescent="0.3">
      <c r="B1178" s="134">
        <v>43819</v>
      </c>
      <c r="C1178" s="135">
        <v>12271.8</v>
      </c>
    </row>
    <row r="1179" spans="2:3" x14ac:dyDescent="0.3">
      <c r="B1179" s="134">
        <v>43822</v>
      </c>
      <c r="C1179" s="135">
        <v>12262.75</v>
      </c>
    </row>
    <row r="1180" spans="2:3" x14ac:dyDescent="0.3">
      <c r="B1180" s="134">
        <v>43823</v>
      </c>
      <c r="C1180" s="135">
        <v>12214.55</v>
      </c>
    </row>
    <row r="1181" spans="2:3" x14ac:dyDescent="0.3">
      <c r="B1181" s="134">
        <v>43825</v>
      </c>
      <c r="C1181" s="135">
        <v>12126.55</v>
      </c>
    </row>
    <row r="1182" spans="2:3" x14ac:dyDescent="0.3">
      <c r="B1182" s="134">
        <v>43826</v>
      </c>
      <c r="C1182" s="135">
        <v>12245.8</v>
      </c>
    </row>
    <row r="1183" spans="2:3" x14ac:dyDescent="0.3">
      <c r="B1183" s="134">
        <v>43829</v>
      </c>
      <c r="C1183" s="135">
        <v>12255.85</v>
      </c>
    </row>
    <row r="1184" spans="2:3" x14ac:dyDescent="0.3">
      <c r="B1184" s="134">
        <v>43830</v>
      </c>
      <c r="C1184" s="135">
        <v>12168.45</v>
      </c>
    </row>
    <row r="1185" spans="2:3" x14ac:dyDescent="0.3">
      <c r="B1185" s="134">
        <v>43831</v>
      </c>
      <c r="C1185" s="135">
        <v>12182.5</v>
      </c>
    </row>
    <row r="1186" spans="2:3" x14ac:dyDescent="0.3">
      <c r="B1186" s="134">
        <v>43832</v>
      </c>
      <c r="C1186" s="135">
        <v>12282.2</v>
      </c>
    </row>
    <row r="1187" spans="2:3" x14ac:dyDescent="0.3">
      <c r="B1187" s="134">
        <v>43833</v>
      </c>
      <c r="C1187" s="135">
        <v>12226.65</v>
      </c>
    </row>
    <row r="1188" spans="2:3" x14ac:dyDescent="0.3">
      <c r="B1188" s="134">
        <v>43836</v>
      </c>
      <c r="C1188" s="135">
        <v>11993.05</v>
      </c>
    </row>
    <row r="1189" spans="2:3" x14ac:dyDescent="0.3">
      <c r="B1189" s="134">
        <v>43837</v>
      </c>
      <c r="C1189" s="135">
        <v>12052.95</v>
      </c>
    </row>
    <row r="1190" spans="2:3" x14ac:dyDescent="0.3">
      <c r="B1190" s="134">
        <v>43838</v>
      </c>
      <c r="C1190" s="135">
        <v>12025.35</v>
      </c>
    </row>
    <row r="1191" spans="2:3" x14ac:dyDescent="0.3">
      <c r="B1191" s="134">
        <v>43839</v>
      </c>
      <c r="C1191" s="135">
        <v>12215.9</v>
      </c>
    </row>
    <row r="1192" spans="2:3" x14ac:dyDescent="0.3">
      <c r="B1192" s="134">
        <v>43840</v>
      </c>
      <c r="C1192" s="135">
        <v>12256.8</v>
      </c>
    </row>
    <row r="1193" spans="2:3" x14ac:dyDescent="0.3">
      <c r="B1193" s="134">
        <v>43843</v>
      </c>
      <c r="C1193" s="135">
        <v>12329.55</v>
      </c>
    </row>
    <row r="1194" spans="2:3" x14ac:dyDescent="0.3">
      <c r="B1194" s="134">
        <v>43844</v>
      </c>
      <c r="C1194" s="135">
        <v>12362.3</v>
      </c>
    </row>
    <row r="1195" spans="2:3" x14ac:dyDescent="0.3">
      <c r="B1195" s="134">
        <v>43845</v>
      </c>
      <c r="C1195" s="135">
        <v>12343.3</v>
      </c>
    </row>
    <row r="1196" spans="2:3" x14ac:dyDescent="0.3">
      <c r="B1196" s="134">
        <v>43846</v>
      </c>
      <c r="C1196" s="135">
        <v>12355.5</v>
      </c>
    </row>
    <row r="1197" spans="2:3" x14ac:dyDescent="0.3">
      <c r="B1197" s="134">
        <v>43847</v>
      </c>
      <c r="C1197" s="135">
        <v>12352.35</v>
      </c>
    </row>
    <row r="1198" spans="2:3" x14ac:dyDescent="0.3">
      <c r="B1198" s="134">
        <v>43850</v>
      </c>
      <c r="C1198" s="135">
        <v>12224.55</v>
      </c>
    </row>
    <row r="1199" spans="2:3" x14ac:dyDescent="0.3">
      <c r="B1199" s="134">
        <v>43851</v>
      </c>
      <c r="C1199" s="135">
        <v>12169.85</v>
      </c>
    </row>
    <row r="1200" spans="2:3" x14ac:dyDescent="0.3">
      <c r="B1200" s="134">
        <v>43852</v>
      </c>
      <c r="C1200" s="135">
        <v>12106.9</v>
      </c>
    </row>
    <row r="1201" spans="2:3" x14ac:dyDescent="0.3">
      <c r="B1201" s="134">
        <v>43853</v>
      </c>
      <c r="C1201" s="135">
        <v>12180.35</v>
      </c>
    </row>
    <row r="1202" spans="2:3" x14ac:dyDescent="0.3">
      <c r="B1202" s="134">
        <v>43854</v>
      </c>
      <c r="C1202" s="135">
        <v>12248.25</v>
      </c>
    </row>
    <row r="1203" spans="2:3" x14ac:dyDescent="0.3">
      <c r="B1203" s="134">
        <v>43857</v>
      </c>
      <c r="C1203" s="135">
        <v>12119</v>
      </c>
    </row>
    <row r="1204" spans="2:3" x14ac:dyDescent="0.3">
      <c r="B1204" s="134">
        <v>43858</v>
      </c>
      <c r="C1204" s="135">
        <v>12055.8</v>
      </c>
    </row>
    <row r="1205" spans="2:3" x14ac:dyDescent="0.3">
      <c r="B1205" s="134">
        <v>43859</v>
      </c>
      <c r="C1205" s="135">
        <v>12129.5</v>
      </c>
    </row>
    <row r="1206" spans="2:3" x14ac:dyDescent="0.3">
      <c r="B1206" s="134">
        <v>43860</v>
      </c>
      <c r="C1206" s="135">
        <v>12035.8</v>
      </c>
    </row>
    <row r="1207" spans="2:3" x14ac:dyDescent="0.3">
      <c r="B1207" s="134">
        <v>43861</v>
      </c>
      <c r="C1207" s="135">
        <v>11962.1</v>
      </c>
    </row>
    <row r="1208" spans="2:3" x14ac:dyDescent="0.3">
      <c r="B1208" s="134">
        <v>43864</v>
      </c>
      <c r="C1208" s="135">
        <v>11707.9</v>
      </c>
    </row>
    <row r="1209" spans="2:3" x14ac:dyDescent="0.3">
      <c r="B1209" s="134">
        <v>43865</v>
      </c>
      <c r="C1209" s="135">
        <v>11979.65</v>
      </c>
    </row>
    <row r="1210" spans="2:3" x14ac:dyDescent="0.3">
      <c r="B1210" s="134">
        <v>43866</v>
      </c>
      <c r="C1210" s="135">
        <v>12089.15</v>
      </c>
    </row>
    <row r="1211" spans="2:3" x14ac:dyDescent="0.3">
      <c r="B1211" s="134">
        <v>43867</v>
      </c>
      <c r="C1211" s="135">
        <v>12137.95</v>
      </c>
    </row>
    <row r="1212" spans="2:3" x14ac:dyDescent="0.3">
      <c r="B1212" s="134">
        <v>43868</v>
      </c>
      <c r="C1212" s="135">
        <v>12098.35</v>
      </c>
    </row>
    <row r="1213" spans="2:3" x14ac:dyDescent="0.3">
      <c r="B1213" s="134">
        <v>43871</v>
      </c>
      <c r="C1213" s="135">
        <v>12031.5</v>
      </c>
    </row>
    <row r="1214" spans="2:3" x14ac:dyDescent="0.3">
      <c r="B1214" s="134">
        <v>43872</v>
      </c>
      <c r="C1214" s="135">
        <v>12107.9</v>
      </c>
    </row>
    <row r="1215" spans="2:3" x14ac:dyDescent="0.3">
      <c r="B1215" s="134">
        <v>43873</v>
      </c>
      <c r="C1215" s="135">
        <v>12201.2</v>
      </c>
    </row>
    <row r="1216" spans="2:3" x14ac:dyDescent="0.3">
      <c r="B1216" s="134">
        <v>43874</v>
      </c>
      <c r="C1216" s="135">
        <v>12174.65</v>
      </c>
    </row>
    <row r="1217" spans="2:3" x14ac:dyDescent="0.3">
      <c r="B1217" s="134">
        <v>43875</v>
      </c>
      <c r="C1217" s="135">
        <v>12113.45</v>
      </c>
    </row>
    <row r="1218" spans="2:3" x14ac:dyDescent="0.3">
      <c r="B1218" s="134">
        <v>43878</v>
      </c>
      <c r="C1218" s="135">
        <v>12045.8</v>
      </c>
    </row>
    <row r="1219" spans="2:3" x14ac:dyDescent="0.3">
      <c r="B1219" s="134">
        <v>43879</v>
      </c>
      <c r="C1219" s="135">
        <v>11992.5</v>
      </c>
    </row>
    <row r="1220" spans="2:3" x14ac:dyDescent="0.3">
      <c r="B1220" s="134">
        <v>43880</v>
      </c>
      <c r="C1220" s="135">
        <v>12125.9</v>
      </c>
    </row>
    <row r="1221" spans="2:3" x14ac:dyDescent="0.3">
      <c r="B1221" s="134">
        <v>43881</v>
      </c>
      <c r="C1221" s="135">
        <v>12080.85</v>
      </c>
    </row>
    <row r="1222" spans="2:3" x14ac:dyDescent="0.3">
      <c r="B1222" s="134">
        <v>43885</v>
      </c>
      <c r="C1222" s="135">
        <v>11829.4</v>
      </c>
    </row>
    <row r="1223" spans="2:3" x14ac:dyDescent="0.3">
      <c r="B1223" s="134">
        <v>43886</v>
      </c>
      <c r="C1223" s="135">
        <v>11797.9</v>
      </c>
    </row>
    <row r="1224" spans="2:3" x14ac:dyDescent="0.3">
      <c r="B1224" s="134">
        <v>43887</v>
      </c>
      <c r="C1224" s="135">
        <v>11678.5</v>
      </c>
    </row>
    <row r="1225" spans="2:3" x14ac:dyDescent="0.3">
      <c r="B1225" s="134">
        <v>43888</v>
      </c>
      <c r="C1225" s="135">
        <v>11633.3</v>
      </c>
    </row>
    <row r="1226" spans="2:3" x14ac:dyDescent="0.3">
      <c r="B1226" s="134">
        <v>43889</v>
      </c>
      <c r="C1226" s="135">
        <v>11201.75</v>
      </c>
    </row>
    <row r="1227" spans="2:3" x14ac:dyDescent="0.3">
      <c r="B1227" s="134">
        <v>43892</v>
      </c>
      <c r="C1227" s="135">
        <v>11132.75</v>
      </c>
    </row>
    <row r="1228" spans="2:3" x14ac:dyDescent="0.3">
      <c r="B1228" s="134">
        <v>43893</v>
      </c>
      <c r="C1228" s="135">
        <v>11303.3</v>
      </c>
    </row>
    <row r="1229" spans="2:3" x14ac:dyDescent="0.3">
      <c r="B1229" s="134">
        <v>43894</v>
      </c>
      <c r="C1229" s="135">
        <v>11251</v>
      </c>
    </row>
    <row r="1230" spans="2:3" x14ac:dyDescent="0.3">
      <c r="B1230" s="134">
        <v>43895</v>
      </c>
      <c r="C1230" s="135">
        <v>11269</v>
      </c>
    </row>
    <row r="1231" spans="2:3" x14ac:dyDescent="0.3">
      <c r="B1231" s="134">
        <v>43896</v>
      </c>
      <c r="C1231" s="135">
        <v>10989.45</v>
      </c>
    </row>
    <row r="1232" spans="2:3" x14ac:dyDescent="0.3">
      <c r="B1232" s="134">
        <v>43899</v>
      </c>
      <c r="C1232" s="135">
        <v>10451.450000000001</v>
      </c>
    </row>
    <row r="1233" spans="2:3" x14ac:dyDescent="0.3">
      <c r="B1233" s="134">
        <v>43901</v>
      </c>
      <c r="C1233" s="135">
        <v>10458.4</v>
      </c>
    </row>
    <row r="1234" spans="2:3" x14ac:dyDescent="0.3">
      <c r="B1234" s="134">
        <v>43902</v>
      </c>
      <c r="C1234" s="135">
        <v>9590.15</v>
      </c>
    </row>
    <row r="1235" spans="2:3" x14ac:dyDescent="0.3">
      <c r="B1235" s="134">
        <v>43903</v>
      </c>
      <c r="C1235" s="135">
        <v>9955.2000000000007</v>
      </c>
    </row>
    <row r="1236" spans="2:3" x14ac:dyDescent="0.3">
      <c r="B1236" s="134">
        <v>43906</v>
      </c>
      <c r="C1236" s="135">
        <v>9197.4</v>
      </c>
    </row>
    <row r="1237" spans="2:3" x14ac:dyDescent="0.3">
      <c r="B1237" s="134">
        <v>43907</v>
      </c>
      <c r="C1237" s="135">
        <v>8967.0499999999993</v>
      </c>
    </row>
    <row r="1238" spans="2:3" x14ac:dyDescent="0.3">
      <c r="B1238" s="134">
        <v>43908</v>
      </c>
      <c r="C1238" s="135">
        <v>8468.7999999999993</v>
      </c>
    </row>
    <row r="1239" spans="2:3" x14ac:dyDescent="0.3">
      <c r="B1239" s="134">
        <v>43909</v>
      </c>
      <c r="C1239" s="135">
        <v>8263.4500000000007</v>
      </c>
    </row>
    <row r="1240" spans="2:3" x14ac:dyDescent="0.3">
      <c r="B1240" s="134">
        <v>43910</v>
      </c>
      <c r="C1240" s="135">
        <v>8745.4500000000007</v>
      </c>
    </row>
    <row r="1241" spans="2:3" x14ac:dyDescent="0.3">
      <c r="B1241" s="134">
        <v>43913</v>
      </c>
      <c r="C1241" s="135">
        <v>7610.25</v>
      </c>
    </row>
    <row r="1242" spans="2:3" x14ac:dyDescent="0.3">
      <c r="B1242" s="134">
        <v>43914</v>
      </c>
      <c r="C1242" s="135">
        <v>7801.05</v>
      </c>
    </row>
    <row r="1243" spans="2:3" x14ac:dyDescent="0.3">
      <c r="B1243" s="134">
        <v>43915</v>
      </c>
      <c r="C1243" s="135">
        <v>8317.85</v>
      </c>
    </row>
    <row r="1244" spans="2:3" x14ac:dyDescent="0.3">
      <c r="B1244" s="134">
        <v>43916</v>
      </c>
      <c r="C1244" s="135">
        <v>8641.4500000000007</v>
      </c>
    </row>
    <row r="1245" spans="2:3" x14ac:dyDescent="0.3">
      <c r="B1245" s="134">
        <v>43917</v>
      </c>
      <c r="C1245" s="135">
        <v>8660.25</v>
      </c>
    </row>
    <row r="1246" spans="2:3" x14ac:dyDescent="0.3">
      <c r="B1246" s="134">
        <v>43920</v>
      </c>
      <c r="C1246" s="135">
        <v>8281.1</v>
      </c>
    </row>
    <row r="1247" spans="2:3" x14ac:dyDescent="0.3">
      <c r="B1247" s="134">
        <v>43921</v>
      </c>
      <c r="C1247" s="135">
        <v>8597.75</v>
      </c>
    </row>
    <row r="1248" spans="2:3" x14ac:dyDescent="0.3">
      <c r="B1248" s="134">
        <v>43922</v>
      </c>
      <c r="C1248" s="135">
        <v>8253.7999999999993</v>
      </c>
    </row>
    <row r="1249" spans="2:3" x14ac:dyDescent="0.3">
      <c r="B1249" s="134">
        <v>43924</v>
      </c>
      <c r="C1249" s="135">
        <v>8083.8</v>
      </c>
    </row>
    <row r="1250" spans="2:3" x14ac:dyDescent="0.3">
      <c r="B1250" s="134">
        <v>43928</v>
      </c>
      <c r="C1250" s="135">
        <v>8792.2000000000007</v>
      </c>
    </row>
    <row r="1251" spans="2:3" x14ac:dyDescent="0.3">
      <c r="B1251" s="134">
        <v>43929</v>
      </c>
      <c r="C1251" s="135">
        <v>8748.75</v>
      </c>
    </row>
    <row r="1252" spans="2:3" x14ac:dyDescent="0.3">
      <c r="B1252" s="134">
        <v>43930</v>
      </c>
      <c r="C1252" s="135">
        <v>9111.9</v>
      </c>
    </row>
    <row r="1253" spans="2:3" x14ac:dyDescent="0.3">
      <c r="B1253" s="134">
        <v>43934</v>
      </c>
      <c r="C1253" s="135">
        <v>8993.85</v>
      </c>
    </row>
    <row r="1254" spans="2:3" x14ac:dyDescent="0.3">
      <c r="B1254" s="134">
        <v>43936</v>
      </c>
      <c r="C1254" s="135">
        <v>8925.2999999999993</v>
      </c>
    </row>
    <row r="1255" spans="2:3" x14ac:dyDescent="0.3">
      <c r="B1255" s="134">
        <v>43937</v>
      </c>
      <c r="C1255" s="135">
        <v>8992.7999999999993</v>
      </c>
    </row>
    <row r="1256" spans="2:3" x14ac:dyDescent="0.3">
      <c r="B1256" s="134">
        <v>43938</v>
      </c>
      <c r="C1256" s="135">
        <v>9266.75</v>
      </c>
    </row>
    <row r="1257" spans="2:3" x14ac:dyDescent="0.3">
      <c r="B1257" s="134">
        <v>43941</v>
      </c>
      <c r="C1257" s="135">
        <v>9261.85</v>
      </c>
    </row>
    <row r="1258" spans="2:3" x14ac:dyDescent="0.3">
      <c r="B1258" s="134">
        <v>43942</v>
      </c>
      <c r="C1258" s="135">
        <v>8981.4500000000007</v>
      </c>
    </row>
    <row r="1259" spans="2:3" x14ac:dyDescent="0.3">
      <c r="B1259" s="134">
        <v>43943</v>
      </c>
      <c r="C1259" s="135">
        <v>9187.2999999999993</v>
      </c>
    </row>
    <row r="1260" spans="2:3" x14ac:dyDescent="0.3">
      <c r="B1260" s="134">
        <v>43944</v>
      </c>
      <c r="C1260" s="135">
        <v>9313.9</v>
      </c>
    </row>
    <row r="1261" spans="2:3" x14ac:dyDescent="0.3">
      <c r="B1261" s="134">
        <v>43945</v>
      </c>
      <c r="C1261" s="135">
        <v>9154.4</v>
      </c>
    </row>
    <row r="1262" spans="2:3" x14ac:dyDescent="0.3">
      <c r="B1262" s="134">
        <v>43948</v>
      </c>
      <c r="C1262" s="135">
        <v>9282.2999999999993</v>
      </c>
    </row>
    <row r="1263" spans="2:3" x14ac:dyDescent="0.3">
      <c r="B1263" s="134">
        <v>43949</v>
      </c>
      <c r="C1263" s="135">
        <v>9380.9</v>
      </c>
    </row>
    <row r="1264" spans="2:3" x14ac:dyDescent="0.3">
      <c r="B1264" s="134">
        <v>43950</v>
      </c>
      <c r="C1264" s="135">
        <v>9553.35</v>
      </c>
    </row>
    <row r="1265" spans="2:3" x14ac:dyDescent="0.3">
      <c r="B1265" s="134">
        <v>43951</v>
      </c>
      <c r="C1265" s="135">
        <v>9859.9</v>
      </c>
    </row>
    <row r="1266" spans="2:3" x14ac:dyDescent="0.3">
      <c r="B1266" s="134">
        <v>43955</v>
      </c>
      <c r="C1266" s="135">
        <v>9293.5</v>
      </c>
    </row>
    <row r="1267" spans="2:3" x14ac:dyDescent="0.3">
      <c r="B1267" s="134">
        <v>43956</v>
      </c>
      <c r="C1267" s="135">
        <v>9205.6</v>
      </c>
    </row>
    <row r="1268" spans="2:3" x14ac:dyDescent="0.3">
      <c r="B1268" s="134">
        <v>43957</v>
      </c>
      <c r="C1268" s="135">
        <v>9270.9</v>
      </c>
    </row>
    <row r="1269" spans="2:3" x14ac:dyDescent="0.3">
      <c r="B1269" s="134">
        <v>43958</v>
      </c>
      <c r="C1269" s="135">
        <v>9199.0499999999993</v>
      </c>
    </row>
    <row r="1270" spans="2:3" x14ac:dyDescent="0.3">
      <c r="B1270" s="134">
        <v>43959</v>
      </c>
      <c r="C1270" s="135">
        <v>9251.5</v>
      </c>
    </row>
    <row r="1271" spans="2:3" x14ac:dyDescent="0.3">
      <c r="B1271" s="134">
        <v>43962</v>
      </c>
      <c r="C1271" s="135">
        <v>9239.2000000000007</v>
      </c>
    </row>
    <row r="1272" spans="2:3" x14ac:dyDescent="0.3">
      <c r="B1272" s="134">
        <v>43963</v>
      </c>
      <c r="C1272" s="135">
        <v>9196.5499999999993</v>
      </c>
    </row>
    <row r="1273" spans="2:3" x14ac:dyDescent="0.3">
      <c r="B1273" s="134">
        <v>43964</v>
      </c>
      <c r="C1273" s="135">
        <v>9383.5499999999993</v>
      </c>
    </row>
    <row r="1274" spans="2:3" x14ac:dyDescent="0.3">
      <c r="B1274" s="134">
        <v>43965</v>
      </c>
      <c r="C1274" s="135">
        <v>9142.75</v>
      </c>
    </row>
    <row r="1275" spans="2:3" x14ac:dyDescent="0.3">
      <c r="B1275" s="134">
        <v>43966</v>
      </c>
      <c r="C1275" s="135">
        <v>9136.85</v>
      </c>
    </row>
    <row r="1276" spans="2:3" x14ac:dyDescent="0.3">
      <c r="B1276" s="134">
        <v>43969</v>
      </c>
      <c r="C1276" s="135">
        <v>8823.25</v>
      </c>
    </row>
    <row r="1277" spans="2:3" x14ac:dyDescent="0.3">
      <c r="B1277" s="134">
        <v>43970</v>
      </c>
      <c r="C1277" s="135">
        <v>8879.1</v>
      </c>
    </row>
    <row r="1278" spans="2:3" x14ac:dyDescent="0.3">
      <c r="B1278" s="134">
        <v>43971</v>
      </c>
      <c r="C1278" s="135">
        <v>9066.5499999999993</v>
      </c>
    </row>
    <row r="1279" spans="2:3" x14ac:dyDescent="0.3">
      <c r="B1279" s="134">
        <v>43972</v>
      </c>
      <c r="C1279" s="135">
        <v>9106.25</v>
      </c>
    </row>
    <row r="1280" spans="2:3" x14ac:dyDescent="0.3">
      <c r="B1280" s="134">
        <v>43973</v>
      </c>
      <c r="C1280" s="135">
        <v>9039.25</v>
      </c>
    </row>
    <row r="1281" spans="2:3" x14ac:dyDescent="0.3">
      <c r="B1281" s="134">
        <v>43977</v>
      </c>
      <c r="C1281" s="135">
        <v>9029.0499999999993</v>
      </c>
    </row>
    <row r="1282" spans="2:3" x14ac:dyDescent="0.3">
      <c r="B1282" s="134">
        <v>43978</v>
      </c>
      <c r="C1282" s="135">
        <v>9314.9500000000007</v>
      </c>
    </row>
    <row r="1283" spans="2:3" x14ac:dyDescent="0.3">
      <c r="B1283" s="134">
        <v>43979</v>
      </c>
      <c r="C1283" s="135">
        <v>9490.1</v>
      </c>
    </row>
    <row r="1284" spans="2:3" x14ac:dyDescent="0.3">
      <c r="B1284" s="134">
        <v>43980</v>
      </c>
      <c r="C1284" s="135">
        <v>9580.2999999999993</v>
      </c>
    </row>
    <row r="1285" spans="2:3" x14ac:dyDescent="0.3">
      <c r="B1285" s="134">
        <v>43983</v>
      </c>
      <c r="C1285" s="135">
        <v>9826.15</v>
      </c>
    </row>
    <row r="1286" spans="2:3" x14ac:dyDescent="0.3">
      <c r="B1286" s="134">
        <v>43984</v>
      </c>
      <c r="C1286" s="135">
        <v>9979.1</v>
      </c>
    </row>
    <row r="1287" spans="2:3" x14ac:dyDescent="0.3">
      <c r="B1287" s="134">
        <v>43985</v>
      </c>
      <c r="C1287" s="135">
        <v>10061.549999999999</v>
      </c>
    </row>
    <row r="1288" spans="2:3" x14ac:dyDescent="0.3">
      <c r="B1288" s="134">
        <v>43986</v>
      </c>
      <c r="C1288" s="135">
        <v>10029.1</v>
      </c>
    </row>
    <row r="1289" spans="2:3" x14ac:dyDescent="0.3">
      <c r="B1289" s="134">
        <v>43987</v>
      </c>
      <c r="C1289" s="135">
        <v>10142.15</v>
      </c>
    </row>
    <row r="1290" spans="2:3" x14ac:dyDescent="0.3">
      <c r="B1290" s="134">
        <v>43990</v>
      </c>
      <c r="C1290" s="135">
        <v>10167.450000000001</v>
      </c>
    </row>
    <row r="1291" spans="2:3" x14ac:dyDescent="0.3">
      <c r="B1291" s="134">
        <v>43991</v>
      </c>
      <c r="C1291" s="135">
        <v>10046.65</v>
      </c>
    </row>
    <row r="1292" spans="2:3" x14ac:dyDescent="0.3">
      <c r="B1292" s="134">
        <v>43992</v>
      </c>
      <c r="C1292" s="135">
        <v>10116.15</v>
      </c>
    </row>
    <row r="1293" spans="2:3" x14ac:dyDescent="0.3">
      <c r="B1293" s="134">
        <v>43993</v>
      </c>
      <c r="C1293" s="135">
        <v>9902</v>
      </c>
    </row>
    <row r="1294" spans="2:3" x14ac:dyDescent="0.3">
      <c r="B1294" s="134">
        <v>43994</v>
      </c>
      <c r="C1294" s="135">
        <v>9972.9</v>
      </c>
    </row>
    <row r="1295" spans="2:3" x14ac:dyDescent="0.3">
      <c r="B1295" s="134">
        <v>43997</v>
      </c>
      <c r="C1295" s="135">
        <v>9813.7000000000007</v>
      </c>
    </row>
    <row r="1296" spans="2:3" x14ac:dyDescent="0.3">
      <c r="B1296" s="134">
        <v>43998</v>
      </c>
      <c r="C1296" s="135">
        <v>9914</v>
      </c>
    </row>
    <row r="1297" spans="2:3" x14ac:dyDescent="0.3">
      <c r="B1297" s="134">
        <v>43999</v>
      </c>
      <c r="C1297" s="135">
        <v>9881.15</v>
      </c>
    </row>
    <row r="1298" spans="2:3" x14ac:dyDescent="0.3">
      <c r="B1298" s="134">
        <v>44000</v>
      </c>
      <c r="C1298" s="135">
        <v>10091.65</v>
      </c>
    </row>
    <row r="1299" spans="2:3" x14ac:dyDescent="0.3">
      <c r="B1299" s="134">
        <v>44001</v>
      </c>
      <c r="C1299" s="135">
        <v>10244.4</v>
      </c>
    </row>
    <row r="1300" spans="2:3" x14ac:dyDescent="0.3">
      <c r="B1300" s="134">
        <v>44004</v>
      </c>
      <c r="C1300" s="135">
        <v>10311.200000000001</v>
      </c>
    </row>
    <row r="1301" spans="2:3" x14ac:dyDescent="0.3">
      <c r="B1301" s="134">
        <v>44005</v>
      </c>
      <c r="C1301" s="135">
        <v>10471</v>
      </c>
    </row>
    <row r="1302" spans="2:3" x14ac:dyDescent="0.3">
      <c r="B1302" s="134">
        <v>44006</v>
      </c>
      <c r="C1302" s="135">
        <v>10305.299999999999</v>
      </c>
    </row>
    <row r="1303" spans="2:3" x14ac:dyDescent="0.3">
      <c r="B1303" s="134">
        <v>44007</v>
      </c>
      <c r="C1303" s="135">
        <v>10288.9</v>
      </c>
    </row>
    <row r="1304" spans="2:3" x14ac:dyDescent="0.3">
      <c r="B1304" s="134">
        <v>44008</v>
      </c>
      <c r="C1304" s="135">
        <v>10383</v>
      </c>
    </row>
    <row r="1305" spans="2:3" x14ac:dyDescent="0.3">
      <c r="B1305" s="134">
        <v>44011</v>
      </c>
      <c r="C1305" s="135">
        <v>10312.4</v>
      </c>
    </row>
    <row r="1306" spans="2:3" x14ac:dyDescent="0.3">
      <c r="B1306" s="134">
        <v>44012</v>
      </c>
      <c r="C1306" s="135">
        <v>10302.1</v>
      </c>
    </row>
    <row r="1307" spans="2:3" x14ac:dyDescent="0.3">
      <c r="B1307" s="134">
        <v>44013</v>
      </c>
      <c r="C1307" s="135">
        <v>10430.049999999999</v>
      </c>
    </row>
    <row r="1308" spans="2:3" x14ac:dyDescent="0.3">
      <c r="B1308" s="134">
        <v>44014</v>
      </c>
      <c r="C1308" s="135">
        <v>10551.7</v>
      </c>
    </row>
    <row r="1309" spans="2:3" x14ac:dyDescent="0.3">
      <c r="B1309" s="134">
        <v>44015</v>
      </c>
      <c r="C1309" s="135">
        <v>10607.35</v>
      </c>
    </row>
    <row r="1310" spans="2:3" x14ac:dyDescent="0.3">
      <c r="B1310" s="134">
        <v>44018</v>
      </c>
      <c r="C1310" s="135">
        <v>10763.65</v>
      </c>
    </row>
    <row r="1311" spans="2:3" x14ac:dyDescent="0.3">
      <c r="B1311" s="134">
        <v>44019</v>
      </c>
      <c r="C1311" s="135">
        <v>10799.65</v>
      </c>
    </row>
    <row r="1312" spans="2:3" x14ac:dyDescent="0.3">
      <c r="B1312" s="134">
        <v>44020</v>
      </c>
      <c r="C1312" s="135">
        <v>10705.75</v>
      </c>
    </row>
    <row r="1313" spans="2:3" x14ac:dyDescent="0.3">
      <c r="B1313" s="134">
        <v>44021</v>
      </c>
      <c r="C1313" s="135">
        <v>10813.45</v>
      </c>
    </row>
    <row r="1314" spans="2:3" x14ac:dyDescent="0.3">
      <c r="B1314" s="134">
        <v>44022</v>
      </c>
      <c r="C1314" s="135">
        <v>10768.05</v>
      </c>
    </row>
    <row r="1315" spans="2:3" x14ac:dyDescent="0.3">
      <c r="B1315" s="134">
        <v>44025</v>
      </c>
      <c r="C1315" s="135">
        <v>10802.7</v>
      </c>
    </row>
    <row r="1316" spans="2:3" x14ac:dyDescent="0.3">
      <c r="B1316" s="134">
        <v>44026</v>
      </c>
      <c r="C1316" s="135">
        <v>10607.35</v>
      </c>
    </row>
    <row r="1317" spans="2:3" x14ac:dyDescent="0.3">
      <c r="B1317" s="134">
        <v>44027</v>
      </c>
      <c r="C1317" s="135">
        <v>10618.2</v>
      </c>
    </row>
    <row r="1318" spans="2:3" x14ac:dyDescent="0.3">
      <c r="B1318" s="134">
        <v>44028</v>
      </c>
      <c r="C1318" s="135">
        <v>10739.95</v>
      </c>
    </row>
    <row r="1319" spans="2:3" x14ac:dyDescent="0.3">
      <c r="B1319" s="134">
        <v>44029</v>
      </c>
      <c r="C1319" s="135">
        <v>10901.7</v>
      </c>
    </row>
    <row r="1320" spans="2:3" x14ac:dyDescent="0.3">
      <c r="B1320" s="134">
        <v>44032</v>
      </c>
      <c r="C1320" s="135">
        <v>11022.2</v>
      </c>
    </row>
    <row r="1321" spans="2:3" x14ac:dyDescent="0.3">
      <c r="B1321" s="134">
        <v>44033</v>
      </c>
      <c r="C1321" s="135">
        <v>11162.25</v>
      </c>
    </row>
    <row r="1322" spans="2:3" x14ac:dyDescent="0.3">
      <c r="B1322" s="134">
        <v>44034</v>
      </c>
      <c r="C1322" s="135">
        <v>11132.6</v>
      </c>
    </row>
    <row r="1323" spans="2:3" x14ac:dyDescent="0.3">
      <c r="B1323" s="134">
        <v>44035</v>
      </c>
      <c r="C1323" s="135">
        <v>11215.45</v>
      </c>
    </row>
    <row r="1324" spans="2:3" x14ac:dyDescent="0.3">
      <c r="B1324" s="134">
        <v>44036</v>
      </c>
      <c r="C1324" s="135">
        <v>11194.15</v>
      </c>
    </row>
    <row r="1325" spans="2:3" x14ac:dyDescent="0.3">
      <c r="B1325" s="134">
        <v>44039</v>
      </c>
      <c r="C1325" s="135">
        <v>11131.8</v>
      </c>
    </row>
    <row r="1326" spans="2:3" x14ac:dyDescent="0.3">
      <c r="B1326" s="134">
        <v>44040</v>
      </c>
      <c r="C1326" s="135">
        <v>11300.55</v>
      </c>
    </row>
    <row r="1327" spans="2:3" x14ac:dyDescent="0.3">
      <c r="B1327" s="134">
        <v>44041</v>
      </c>
      <c r="C1327" s="135">
        <v>11202.85</v>
      </c>
    </row>
    <row r="1328" spans="2:3" x14ac:dyDescent="0.3">
      <c r="B1328" s="134">
        <v>44042</v>
      </c>
      <c r="C1328" s="135">
        <v>11102.15</v>
      </c>
    </row>
    <row r="1329" spans="2:3" x14ac:dyDescent="0.3">
      <c r="B1329" s="134">
        <v>44043</v>
      </c>
      <c r="C1329" s="135">
        <v>11073.45</v>
      </c>
    </row>
    <row r="1330" spans="2:3" x14ac:dyDescent="0.3">
      <c r="B1330" s="134">
        <v>44046</v>
      </c>
      <c r="C1330" s="135">
        <v>10891.6</v>
      </c>
    </row>
    <row r="1331" spans="2:3" x14ac:dyDescent="0.3">
      <c r="B1331" s="134">
        <v>44047</v>
      </c>
      <c r="C1331" s="135">
        <v>11095.25</v>
      </c>
    </row>
    <row r="1332" spans="2:3" x14ac:dyDescent="0.3">
      <c r="B1332" s="134">
        <v>44048</v>
      </c>
      <c r="C1332" s="135">
        <v>11101.65</v>
      </c>
    </row>
    <row r="1333" spans="2:3" x14ac:dyDescent="0.3">
      <c r="B1333" s="134">
        <v>44049</v>
      </c>
      <c r="C1333" s="135">
        <v>11200.15</v>
      </c>
    </row>
    <row r="1334" spans="2:3" x14ac:dyDescent="0.3">
      <c r="B1334" s="134">
        <v>44050</v>
      </c>
      <c r="C1334" s="135">
        <v>11214.05</v>
      </c>
    </row>
    <row r="1335" spans="2:3" x14ac:dyDescent="0.3">
      <c r="B1335" s="134">
        <v>44053</v>
      </c>
      <c r="C1335" s="135">
        <v>11270.15</v>
      </c>
    </row>
    <row r="1336" spans="2:3" x14ac:dyDescent="0.3">
      <c r="B1336" s="134">
        <v>44054</v>
      </c>
      <c r="C1336" s="135">
        <v>11322.5</v>
      </c>
    </row>
    <row r="1337" spans="2:3" x14ac:dyDescent="0.3">
      <c r="B1337" s="134">
        <v>44055</v>
      </c>
      <c r="C1337" s="135">
        <v>11308.4</v>
      </c>
    </row>
    <row r="1338" spans="2:3" x14ac:dyDescent="0.3">
      <c r="B1338" s="134">
        <v>44056</v>
      </c>
      <c r="C1338" s="135">
        <v>11300.45</v>
      </c>
    </row>
    <row r="1339" spans="2:3" x14ac:dyDescent="0.3">
      <c r="B1339" s="134">
        <v>44057</v>
      </c>
      <c r="C1339" s="135">
        <v>11178.4</v>
      </c>
    </row>
    <row r="1340" spans="2:3" x14ac:dyDescent="0.3">
      <c r="B1340" s="134">
        <v>44060</v>
      </c>
      <c r="C1340" s="135">
        <v>11247.1</v>
      </c>
    </row>
    <row r="1341" spans="2:3" x14ac:dyDescent="0.3">
      <c r="B1341" s="134">
        <v>44061</v>
      </c>
      <c r="C1341" s="135">
        <v>11385.35</v>
      </c>
    </row>
    <row r="1342" spans="2:3" x14ac:dyDescent="0.3">
      <c r="B1342" s="134">
        <v>44062</v>
      </c>
      <c r="C1342" s="135">
        <v>11408.4</v>
      </c>
    </row>
    <row r="1343" spans="2:3" x14ac:dyDescent="0.3">
      <c r="B1343" s="134">
        <v>44063</v>
      </c>
      <c r="C1343" s="135">
        <v>11312.2</v>
      </c>
    </row>
    <row r="1344" spans="2:3" x14ac:dyDescent="0.3">
      <c r="B1344" s="134">
        <v>44064</v>
      </c>
      <c r="C1344" s="135">
        <v>11371.6</v>
      </c>
    </row>
    <row r="1345" spans="2:3" x14ac:dyDescent="0.3">
      <c r="B1345" s="134">
        <v>44067</v>
      </c>
      <c r="C1345" s="135">
        <v>11466.45</v>
      </c>
    </row>
    <row r="1346" spans="2:3" x14ac:dyDescent="0.3">
      <c r="B1346" s="134">
        <v>44068</v>
      </c>
      <c r="C1346" s="135">
        <v>11472.25</v>
      </c>
    </row>
    <row r="1347" spans="2:3" x14ac:dyDescent="0.3">
      <c r="B1347" s="134">
        <v>44069</v>
      </c>
      <c r="C1347" s="135">
        <v>11549.6</v>
      </c>
    </row>
    <row r="1348" spans="2:3" x14ac:dyDescent="0.3">
      <c r="B1348" s="134">
        <v>44070</v>
      </c>
      <c r="C1348" s="135">
        <v>11559.25</v>
      </c>
    </row>
    <row r="1349" spans="2:3" x14ac:dyDescent="0.3">
      <c r="B1349" s="134">
        <v>44071</v>
      </c>
      <c r="C1349" s="135">
        <v>11647.6</v>
      </c>
    </row>
    <row r="1350" spans="2:3" x14ac:dyDescent="0.3">
      <c r="B1350" s="134">
        <v>44074</v>
      </c>
      <c r="C1350" s="135">
        <v>11387.5</v>
      </c>
    </row>
    <row r="1351" spans="2:3" x14ac:dyDescent="0.3">
      <c r="B1351" s="134">
        <v>44075</v>
      </c>
      <c r="C1351" s="135">
        <v>11470.25</v>
      </c>
    </row>
    <row r="1352" spans="2:3" x14ac:dyDescent="0.3">
      <c r="B1352" s="134">
        <v>44076</v>
      </c>
      <c r="C1352" s="135">
        <v>11535</v>
      </c>
    </row>
    <row r="1353" spans="2:3" x14ac:dyDescent="0.3">
      <c r="B1353" s="134">
        <v>44077</v>
      </c>
      <c r="C1353" s="135">
        <v>11527.45</v>
      </c>
    </row>
    <row r="1354" spans="2:3" x14ac:dyDescent="0.3">
      <c r="B1354" s="134">
        <v>44078</v>
      </c>
      <c r="C1354" s="135">
        <v>11333.85</v>
      </c>
    </row>
    <row r="1355" spans="2:3" x14ac:dyDescent="0.3">
      <c r="B1355" s="134">
        <v>44081</v>
      </c>
      <c r="C1355" s="135">
        <v>11355.05</v>
      </c>
    </row>
    <row r="1356" spans="2:3" x14ac:dyDescent="0.3">
      <c r="B1356" s="134">
        <v>44082</v>
      </c>
      <c r="C1356" s="135">
        <v>11317.35</v>
      </c>
    </row>
    <row r="1357" spans="2:3" x14ac:dyDescent="0.3">
      <c r="B1357" s="134">
        <v>44083</v>
      </c>
      <c r="C1357" s="135">
        <v>11278</v>
      </c>
    </row>
    <row r="1358" spans="2:3" x14ac:dyDescent="0.3">
      <c r="B1358" s="134">
        <v>44084</v>
      </c>
      <c r="C1358" s="135">
        <v>11449.25</v>
      </c>
    </row>
    <row r="1359" spans="2:3" x14ac:dyDescent="0.3">
      <c r="B1359" s="134">
        <v>44085</v>
      </c>
      <c r="C1359" s="135">
        <v>11464.45</v>
      </c>
    </row>
    <row r="1360" spans="2:3" x14ac:dyDescent="0.3">
      <c r="B1360" s="134">
        <v>44088</v>
      </c>
      <c r="C1360" s="135">
        <v>11440.05</v>
      </c>
    </row>
    <row r="1361" spans="2:3" x14ac:dyDescent="0.3">
      <c r="B1361" s="134">
        <v>44089</v>
      </c>
      <c r="C1361" s="135">
        <v>11521.8</v>
      </c>
    </row>
    <row r="1362" spans="2:3" x14ac:dyDescent="0.3">
      <c r="B1362" s="134">
        <v>44090</v>
      </c>
      <c r="C1362" s="135">
        <v>11604.55</v>
      </c>
    </row>
    <row r="1363" spans="2:3" x14ac:dyDescent="0.3">
      <c r="B1363" s="134">
        <v>44091</v>
      </c>
      <c r="C1363" s="135">
        <v>11516.1</v>
      </c>
    </row>
    <row r="1364" spans="2:3" x14ac:dyDescent="0.3">
      <c r="B1364" s="134">
        <v>44092</v>
      </c>
      <c r="C1364" s="135">
        <v>11504.95</v>
      </c>
    </row>
    <row r="1365" spans="2:3" x14ac:dyDescent="0.3">
      <c r="B1365" s="134">
        <v>44095</v>
      </c>
      <c r="C1365" s="135">
        <v>11250.55</v>
      </c>
    </row>
    <row r="1366" spans="2:3" x14ac:dyDescent="0.3">
      <c r="B1366" s="134">
        <v>44096</v>
      </c>
      <c r="C1366" s="135">
        <v>11153.65</v>
      </c>
    </row>
    <row r="1367" spans="2:3" x14ac:dyDescent="0.3">
      <c r="B1367" s="134">
        <v>44097</v>
      </c>
      <c r="C1367" s="135">
        <v>11131.85</v>
      </c>
    </row>
    <row r="1368" spans="2:3" x14ac:dyDescent="0.3">
      <c r="B1368" s="134">
        <v>44098</v>
      </c>
      <c r="C1368" s="135">
        <v>10805.55</v>
      </c>
    </row>
    <row r="1369" spans="2:3" x14ac:dyDescent="0.3">
      <c r="B1369" s="134">
        <v>44099</v>
      </c>
      <c r="C1369" s="135">
        <v>11050.25</v>
      </c>
    </row>
    <row r="1370" spans="2:3" x14ac:dyDescent="0.3">
      <c r="B1370" s="134">
        <v>44102</v>
      </c>
      <c r="C1370" s="135">
        <v>11227.55</v>
      </c>
    </row>
    <row r="1371" spans="2:3" x14ac:dyDescent="0.3">
      <c r="B1371" s="134">
        <v>44103</v>
      </c>
      <c r="C1371" s="135">
        <v>11222.4</v>
      </c>
    </row>
    <row r="1372" spans="2:3" x14ac:dyDescent="0.3">
      <c r="B1372" s="134">
        <v>44104</v>
      </c>
      <c r="C1372" s="135">
        <v>11247.55</v>
      </c>
    </row>
    <row r="1373" spans="2:3" x14ac:dyDescent="0.3">
      <c r="B1373" s="134">
        <v>44105</v>
      </c>
      <c r="C1373" s="135">
        <v>11416.95</v>
      </c>
    </row>
    <row r="1374" spans="2:3" x14ac:dyDescent="0.3">
      <c r="B1374" s="134">
        <v>44109</v>
      </c>
      <c r="C1374" s="135">
        <v>11503.35</v>
      </c>
    </row>
    <row r="1375" spans="2:3" x14ac:dyDescent="0.3">
      <c r="B1375" s="134">
        <v>44110</v>
      </c>
      <c r="C1375" s="135">
        <v>11662.4</v>
      </c>
    </row>
    <row r="1376" spans="2:3" x14ac:dyDescent="0.3">
      <c r="B1376" s="134">
        <v>44111</v>
      </c>
      <c r="C1376" s="135">
        <v>11738.85</v>
      </c>
    </row>
    <row r="1377" spans="2:3" x14ac:dyDescent="0.3">
      <c r="B1377" s="134">
        <v>44112</v>
      </c>
      <c r="C1377" s="135">
        <v>11834.6</v>
      </c>
    </row>
    <row r="1378" spans="2:3" x14ac:dyDescent="0.3">
      <c r="B1378" s="134">
        <v>44113</v>
      </c>
      <c r="C1378" s="135">
        <v>11914.2</v>
      </c>
    </row>
    <row r="1379" spans="2:3" x14ac:dyDescent="0.3">
      <c r="B1379" s="134">
        <v>44116</v>
      </c>
      <c r="C1379" s="135">
        <v>11930.95</v>
      </c>
    </row>
    <row r="1380" spans="2:3" x14ac:dyDescent="0.3">
      <c r="B1380" s="134">
        <v>44117</v>
      </c>
      <c r="C1380" s="135">
        <v>11934.5</v>
      </c>
    </row>
    <row r="1381" spans="2:3" x14ac:dyDescent="0.3">
      <c r="B1381" s="134">
        <v>44118</v>
      </c>
      <c r="C1381" s="135">
        <v>11971.05</v>
      </c>
    </row>
    <row r="1382" spans="2:3" x14ac:dyDescent="0.3">
      <c r="B1382" s="134">
        <v>44119</v>
      </c>
      <c r="C1382" s="135">
        <v>11680.35</v>
      </c>
    </row>
    <row r="1383" spans="2:3" x14ac:dyDescent="0.3">
      <c r="B1383" s="134">
        <v>44120</v>
      </c>
      <c r="C1383" s="135">
        <v>11762.45</v>
      </c>
    </row>
    <row r="1384" spans="2:3" x14ac:dyDescent="0.3">
      <c r="B1384" s="134">
        <v>44123</v>
      </c>
      <c r="C1384" s="135">
        <v>11873.05</v>
      </c>
    </row>
    <row r="1385" spans="2:3" x14ac:dyDescent="0.3">
      <c r="B1385" s="134">
        <v>44124</v>
      </c>
      <c r="C1385" s="135">
        <v>11896.8</v>
      </c>
    </row>
    <row r="1386" spans="2:3" x14ac:dyDescent="0.3">
      <c r="B1386" s="134">
        <v>44125</v>
      </c>
      <c r="C1386" s="135">
        <v>11937.65</v>
      </c>
    </row>
    <row r="1387" spans="2:3" x14ac:dyDescent="0.3">
      <c r="B1387" s="134">
        <v>44126</v>
      </c>
      <c r="C1387" s="135">
        <v>11896.45</v>
      </c>
    </row>
    <row r="1388" spans="2:3" x14ac:dyDescent="0.3">
      <c r="B1388" s="134">
        <v>44127</v>
      </c>
      <c r="C1388" s="135">
        <v>11930.35</v>
      </c>
    </row>
    <row r="1389" spans="2:3" x14ac:dyDescent="0.3">
      <c r="B1389" s="134">
        <v>44130</v>
      </c>
      <c r="C1389" s="135">
        <v>11767.75</v>
      </c>
    </row>
    <row r="1390" spans="2:3" x14ac:dyDescent="0.3">
      <c r="B1390" s="134">
        <v>44131</v>
      </c>
      <c r="C1390" s="135">
        <v>11889.4</v>
      </c>
    </row>
    <row r="1391" spans="2:3" x14ac:dyDescent="0.3">
      <c r="B1391" s="134">
        <v>44132</v>
      </c>
      <c r="C1391" s="135">
        <v>11729.6</v>
      </c>
    </row>
    <row r="1392" spans="2:3" x14ac:dyDescent="0.3">
      <c r="B1392" s="134">
        <v>44133</v>
      </c>
      <c r="C1392" s="135">
        <v>11670.8</v>
      </c>
    </row>
    <row r="1393" spans="2:3" x14ac:dyDescent="0.3">
      <c r="B1393" s="134">
        <v>44134</v>
      </c>
      <c r="C1393" s="135">
        <v>11642.4</v>
      </c>
    </row>
    <row r="1394" spans="2:3" x14ac:dyDescent="0.3">
      <c r="B1394" s="134">
        <v>44137</v>
      </c>
      <c r="C1394" s="135">
        <v>11669.15</v>
      </c>
    </row>
    <row r="1395" spans="2:3" x14ac:dyDescent="0.3">
      <c r="B1395" s="134">
        <v>44138</v>
      </c>
      <c r="C1395" s="135">
        <v>11813.5</v>
      </c>
    </row>
    <row r="1396" spans="2:3" x14ac:dyDescent="0.3">
      <c r="B1396" s="134">
        <v>44139</v>
      </c>
      <c r="C1396" s="135">
        <v>11908.5</v>
      </c>
    </row>
    <row r="1397" spans="2:3" x14ac:dyDescent="0.3">
      <c r="B1397" s="134">
        <v>44140</v>
      </c>
      <c r="C1397" s="135">
        <v>12120.3</v>
      </c>
    </row>
    <row r="1398" spans="2:3" x14ac:dyDescent="0.3">
      <c r="B1398" s="134">
        <v>44141</v>
      </c>
      <c r="C1398" s="135">
        <v>12263.55</v>
      </c>
    </row>
    <row r="1399" spans="2:3" x14ac:dyDescent="0.3">
      <c r="B1399" s="134">
        <v>44144</v>
      </c>
      <c r="C1399" s="135">
        <v>12461.05</v>
      </c>
    </row>
    <row r="1400" spans="2:3" x14ac:dyDescent="0.3">
      <c r="B1400" s="134">
        <v>44145</v>
      </c>
      <c r="C1400" s="135">
        <v>12631.1</v>
      </c>
    </row>
    <row r="1401" spans="2:3" x14ac:dyDescent="0.3">
      <c r="B1401" s="134">
        <v>44146</v>
      </c>
      <c r="C1401" s="135">
        <v>12749.15</v>
      </c>
    </row>
    <row r="1402" spans="2:3" x14ac:dyDescent="0.3">
      <c r="B1402" s="134">
        <v>44147</v>
      </c>
      <c r="C1402" s="135">
        <v>12690.8</v>
      </c>
    </row>
    <row r="1403" spans="2:3" x14ac:dyDescent="0.3">
      <c r="B1403" s="134">
        <v>44148</v>
      </c>
      <c r="C1403" s="135">
        <v>12719.95</v>
      </c>
    </row>
    <row r="1404" spans="2:3" x14ac:dyDescent="0.3">
      <c r="B1404" s="134">
        <v>44152</v>
      </c>
      <c r="C1404" s="135">
        <v>12874.2</v>
      </c>
    </row>
    <row r="1405" spans="2:3" x14ac:dyDescent="0.3">
      <c r="B1405" s="134">
        <v>44153</v>
      </c>
      <c r="C1405" s="135">
        <v>12938.25</v>
      </c>
    </row>
    <row r="1406" spans="2:3" x14ac:dyDescent="0.3">
      <c r="B1406" s="134">
        <v>44154</v>
      </c>
      <c r="C1406" s="135">
        <v>12771.7</v>
      </c>
    </row>
    <row r="1407" spans="2:3" x14ac:dyDescent="0.3">
      <c r="B1407" s="134">
        <v>44155</v>
      </c>
      <c r="C1407" s="135">
        <v>12859.05</v>
      </c>
    </row>
    <row r="1408" spans="2:3" x14ac:dyDescent="0.3">
      <c r="B1408" s="134">
        <v>44158</v>
      </c>
      <c r="C1408" s="135">
        <v>12926.45</v>
      </c>
    </row>
    <row r="1409" spans="2:3" x14ac:dyDescent="0.3">
      <c r="B1409" s="134">
        <v>44159</v>
      </c>
      <c r="C1409" s="135">
        <v>13055.15</v>
      </c>
    </row>
    <row r="1410" spans="2:3" x14ac:dyDescent="0.3">
      <c r="B1410" s="134">
        <v>44160</v>
      </c>
      <c r="C1410" s="135">
        <v>12858.4</v>
      </c>
    </row>
    <row r="1411" spans="2:3" x14ac:dyDescent="0.3">
      <c r="B1411" s="134">
        <v>44161</v>
      </c>
      <c r="C1411" s="135">
        <v>12987</v>
      </c>
    </row>
    <row r="1412" spans="2:3" x14ac:dyDescent="0.3">
      <c r="B1412" s="134">
        <v>44162</v>
      </c>
      <c r="C1412" s="135">
        <v>12968.95</v>
      </c>
    </row>
    <row r="1413" spans="2:3" x14ac:dyDescent="0.3">
      <c r="B1413" s="134">
        <v>44166</v>
      </c>
      <c r="C1413" s="135">
        <v>13109.05</v>
      </c>
    </row>
    <row r="1414" spans="2:3" x14ac:dyDescent="0.3">
      <c r="B1414" s="134">
        <v>44167</v>
      </c>
      <c r="C1414" s="135">
        <v>13113.75</v>
      </c>
    </row>
    <row r="1415" spans="2:3" x14ac:dyDescent="0.3">
      <c r="B1415" s="134">
        <v>44168</v>
      </c>
      <c r="C1415" s="135">
        <v>13133.9</v>
      </c>
    </row>
    <row r="1416" spans="2:3" x14ac:dyDescent="0.3">
      <c r="B1416" s="134">
        <v>44169</v>
      </c>
      <c r="C1416" s="135">
        <v>13258.55</v>
      </c>
    </row>
    <row r="1417" spans="2:3" x14ac:dyDescent="0.3">
      <c r="B1417" s="134">
        <v>44172</v>
      </c>
      <c r="C1417" s="135">
        <v>13355.75</v>
      </c>
    </row>
    <row r="1418" spans="2:3" x14ac:dyDescent="0.3">
      <c r="B1418" s="134">
        <v>44173</v>
      </c>
      <c r="C1418" s="135">
        <v>13392.95</v>
      </c>
    </row>
    <row r="1419" spans="2:3" x14ac:dyDescent="0.3">
      <c r="B1419" s="134">
        <v>44174</v>
      </c>
      <c r="C1419" s="135">
        <v>13529.1</v>
      </c>
    </row>
    <row r="1420" spans="2:3" x14ac:dyDescent="0.3">
      <c r="B1420" s="134">
        <v>44175</v>
      </c>
      <c r="C1420" s="135">
        <v>13478.3</v>
      </c>
    </row>
    <row r="1421" spans="2:3" x14ac:dyDescent="0.3">
      <c r="B1421" s="134">
        <v>44176</v>
      </c>
      <c r="C1421" s="135">
        <v>13513.85</v>
      </c>
    </row>
    <row r="1422" spans="2:3" x14ac:dyDescent="0.3">
      <c r="B1422" s="134">
        <v>44179</v>
      </c>
      <c r="C1422" s="135">
        <v>13558.15</v>
      </c>
    </row>
    <row r="1423" spans="2:3" x14ac:dyDescent="0.3">
      <c r="B1423" s="134">
        <v>44180</v>
      </c>
      <c r="C1423" s="135">
        <v>13567.85</v>
      </c>
    </row>
    <row r="1424" spans="2:3" x14ac:dyDescent="0.3">
      <c r="B1424" s="134">
        <v>44181</v>
      </c>
      <c r="C1424" s="135">
        <v>13682.7</v>
      </c>
    </row>
    <row r="1425" spans="2:3" x14ac:dyDescent="0.3">
      <c r="B1425" s="134">
        <v>44182</v>
      </c>
      <c r="C1425" s="135">
        <v>13740.7</v>
      </c>
    </row>
    <row r="1426" spans="2:3" x14ac:dyDescent="0.3">
      <c r="B1426" s="134">
        <v>44183</v>
      </c>
      <c r="C1426" s="135">
        <v>13760.55</v>
      </c>
    </row>
    <row r="1427" spans="2:3" x14ac:dyDescent="0.3">
      <c r="B1427" s="134">
        <v>44186</v>
      </c>
      <c r="C1427" s="135">
        <v>13328.4</v>
      </c>
    </row>
    <row r="1428" spans="2:3" x14ac:dyDescent="0.3">
      <c r="B1428" s="134">
        <v>44187</v>
      </c>
      <c r="C1428" s="135">
        <v>13466.3</v>
      </c>
    </row>
    <row r="1429" spans="2:3" x14ac:dyDescent="0.3">
      <c r="B1429" s="134">
        <v>44188</v>
      </c>
      <c r="C1429" s="135">
        <v>13601.1</v>
      </c>
    </row>
    <row r="1430" spans="2:3" x14ac:dyDescent="0.3">
      <c r="B1430" s="134">
        <v>44189</v>
      </c>
      <c r="C1430" s="135">
        <v>13749.25</v>
      </c>
    </row>
    <row r="1431" spans="2:3" x14ac:dyDescent="0.3">
      <c r="B1431" s="134">
        <v>44193</v>
      </c>
      <c r="C1431" s="135">
        <v>13873.2</v>
      </c>
    </row>
    <row r="1432" spans="2:3" x14ac:dyDescent="0.3">
      <c r="B1432" s="134">
        <v>44194</v>
      </c>
      <c r="C1432" s="135">
        <v>13932.6</v>
      </c>
    </row>
    <row r="1433" spans="2:3" x14ac:dyDescent="0.3">
      <c r="B1433" s="134">
        <v>44195</v>
      </c>
      <c r="C1433" s="135">
        <v>13981.95</v>
      </c>
    </row>
    <row r="1434" spans="2:3" x14ac:dyDescent="0.3">
      <c r="B1434" s="134">
        <v>44196</v>
      </c>
      <c r="C1434" s="135">
        <v>13981.75</v>
      </c>
    </row>
    <row r="1435" spans="2:3" x14ac:dyDescent="0.3">
      <c r="B1435" s="134">
        <v>44197</v>
      </c>
      <c r="C1435" s="135">
        <v>14018.5</v>
      </c>
    </row>
    <row r="1436" spans="2:3" x14ac:dyDescent="0.3">
      <c r="B1436" s="134">
        <v>44200</v>
      </c>
      <c r="C1436" s="135">
        <v>14132.9</v>
      </c>
    </row>
    <row r="1437" spans="2:3" x14ac:dyDescent="0.3">
      <c r="B1437" s="134">
        <v>44201</v>
      </c>
      <c r="C1437" s="135">
        <v>14199.5</v>
      </c>
    </row>
    <row r="1438" spans="2:3" x14ac:dyDescent="0.3">
      <c r="B1438" s="134">
        <v>44202</v>
      </c>
      <c r="C1438" s="135">
        <v>14146.25</v>
      </c>
    </row>
    <row r="1439" spans="2:3" x14ac:dyDescent="0.3">
      <c r="B1439" s="134">
        <v>44203</v>
      </c>
      <c r="C1439" s="135">
        <v>14137.35</v>
      </c>
    </row>
    <row r="1440" spans="2:3" x14ac:dyDescent="0.3">
      <c r="B1440" s="134">
        <v>44204</v>
      </c>
      <c r="C1440" s="135">
        <v>14347.25</v>
      </c>
    </row>
    <row r="1441" spans="2:3" x14ac:dyDescent="0.3">
      <c r="B1441" s="134">
        <v>44207</v>
      </c>
      <c r="C1441" s="135">
        <v>14484.75</v>
      </c>
    </row>
    <row r="1442" spans="2:3" x14ac:dyDescent="0.3">
      <c r="B1442" s="134">
        <v>44208</v>
      </c>
      <c r="C1442" s="135">
        <v>14563.45</v>
      </c>
    </row>
    <row r="1443" spans="2:3" x14ac:dyDescent="0.3">
      <c r="B1443" s="134">
        <v>44209</v>
      </c>
      <c r="C1443" s="135">
        <v>14564.85</v>
      </c>
    </row>
    <row r="1444" spans="2:3" x14ac:dyDescent="0.3">
      <c r="B1444" s="134">
        <v>44210</v>
      </c>
      <c r="C1444" s="135">
        <v>14595.6</v>
      </c>
    </row>
    <row r="1445" spans="2:3" x14ac:dyDescent="0.3">
      <c r="B1445" s="134">
        <v>44211</v>
      </c>
      <c r="C1445" s="135">
        <v>14433.7</v>
      </c>
    </row>
    <row r="1446" spans="2:3" x14ac:dyDescent="0.3">
      <c r="B1446" s="134">
        <v>44214</v>
      </c>
      <c r="C1446" s="135">
        <v>14281.3</v>
      </c>
    </row>
    <row r="1447" spans="2:3" x14ac:dyDescent="0.3">
      <c r="B1447" s="134">
        <v>44215</v>
      </c>
      <c r="C1447" s="135">
        <v>14521.15</v>
      </c>
    </row>
    <row r="1448" spans="2:3" x14ac:dyDescent="0.3">
      <c r="B1448" s="134">
        <v>44216</v>
      </c>
      <c r="C1448" s="135">
        <v>14644.7</v>
      </c>
    </row>
    <row r="1449" spans="2:3" x14ac:dyDescent="0.3">
      <c r="B1449" s="134">
        <v>44217</v>
      </c>
      <c r="C1449" s="135">
        <v>14590.35</v>
      </c>
    </row>
    <row r="1450" spans="2:3" x14ac:dyDescent="0.3">
      <c r="B1450" s="134">
        <v>44218</v>
      </c>
      <c r="C1450" s="135">
        <v>14371.9</v>
      </c>
    </row>
    <row r="1451" spans="2:3" x14ac:dyDescent="0.3">
      <c r="B1451" s="134">
        <v>44221</v>
      </c>
      <c r="C1451" s="135">
        <v>14238.9</v>
      </c>
    </row>
    <row r="1452" spans="2:3" x14ac:dyDescent="0.3">
      <c r="B1452" s="134">
        <v>44223</v>
      </c>
      <c r="C1452" s="135">
        <v>13967.5</v>
      </c>
    </row>
    <row r="1453" spans="2:3" x14ac:dyDescent="0.3">
      <c r="B1453" s="134">
        <v>44224</v>
      </c>
      <c r="C1453" s="135">
        <v>13817.55</v>
      </c>
    </row>
    <row r="1454" spans="2:3" x14ac:dyDescent="0.3">
      <c r="B1454" s="134">
        <v>44225</v>
      </c>
      <c r="C1454" s="135">
        <v>13634.6</v>
      </c>
    </row>
    <row r="1455" spans="2:3" x14ac:dyDescent="0.3">
      <c r="B1455" s="134">
        <v>44228</v>
      </c>
      <c r="C1455" s="135">
        <v>14281.2</v>
      </c>
    </row>
    <row r="1456" spans="2:3" x14ac:dyDescent="0.3">
      <c r="B1456" s="134">
        <v>44229</v>
      </c>
      <c r="C1456" s="135">
        <v>14647.85</v>
      </c>
    </row>
    <row r="1457" spans="2:3" x14ac:dyDescent="0.3">
      <c r="B1457" s="134">
        <v>44230</v>
      </c>
      <c r="C1457" s="135">
        <v>14789.95</v>
      </c>
    </row>
    <row r="1458" spans="2:3" x14ac:dyDescent="0.3">
      <c r="B1458" s="134">
        <v>44231</v>
      </c>
      <c r="C1458" s="135">
        <v>14895.65</v>
      </c>
    </row>
    <row r="1459" spans="2:3" x14ac:dyDescent="0.3">
      <c r="B1459" s="134">
        <v>44232</v>
      </c>
      <c r="C1459" s="135">
        <v>14924.25</v>
      </c>
    </row>
    <row r="1460" spans="2:3" x14ac:dyDescent="0.3">
      <c r="B1460" s="134">
        <v>44235</v>
      </c>
      <c r="C1460" s="135">
        <v>15115.8</v>
      </c>
    </row>
    <row r="1461" spans="2:3" x14ac:dyDescent="0.3">
      <c r="B1461" s="134">
        <v>44236</v>
      </c>
      <c r="C1461" s="135">
        <v>15109.3</v>
      </c>
    </row>
    <row r="1462" spans="2:3" x14ac:dyDescent="0.3">
      <c r="B1462" s="134">
        <v>44237</v>
      </c>
      <c r="C1462" s="135">
        <v>15106.5</v>
      </c>
    </row>
    <row r="1463" spans="2:3" x14ac:dyDescent="0.3">
      <c r="B1463" s="134">
        <v>44238</v>
      </c>
      <c r="C1463" s="135">
        <v>15173.3</v>
      </c>
    </row>
    <row r="1464" spans="2:3" x14ac:dyDescent="0.3">
      <c r="B1464" s="134">
        <v>44239</v>
      </c>
      <c r="C1464" s="135">
        <v>15163.3</v>
      </c>
    </row>
    <row r="1465" spans="2:3" x14ac:dyDescent="0.3">
      <c r="B1465" s="134">
        <v>44242</v>
      </c>
      <c r="C1465" s="135">
        <v>15314.7</v>
      </c>
    </row>
    <row r="1466" spans="2:3" x14ac:dyDescent="0.3">
      <c r="B1466" s="134">
        <v>44243</v>
      </c>
      <c r="C1466" s="135">
        <v>15313.45</v>
      </c>
    </row>
    <row r="1467" spans="2:3" x14ac:dyDescent="0.3">
      <c r="B1467" s="134">
        <v>44244</v>
      </c>
      <c r="C1467" s="135">
        <v>15208.9</v>
      </c>
    </row>
    <row r="1468" spans="2:3" x14ac:dyDescent="0.3">
      <c r="B1468" s="134">
        <v>44245</v>
      </c>
      <c r="C1468" s="135">
        <v>15118.95</v>
      </c>
    </row>
    <row r="1469" spans="2:3" x14ac:dyDescent="0.3">
      <c r="B1469" s="134">
        <v>44246</v>
      </c>
      <c r="C1469" s="135">
        <v>14981.75</v>
      </c>
    </row>
    <row r="1470" spans="2:3" x14ac:dyDescent="0.3">
      <c r="B1470" s="134">
        <v>44249</v>
      </c>
      <c r="C1470" s="135">
        <v>14675.7</v>
      </c>
    </row>
    <row r="1471" spans="2:3" x14ac:dyDescent="0.3">
      <c r="B1471" s="134">
        <v>44250</v>
      </c>
      <c r="C1471" s="135">
        <v>14707.8</v>
      </c>
    </row>
    <row r="1472" spans="2:3" x14ac:dyDescent="0.3">
      <c r="B1472" s="134">
        <v>44251</v>
      </c>
      <c r="C1472" s="135">
        <v>14982</v>
      </c>
    </row>
    <row r="1473" spans="2:3" x14ac:dyDescent="0.3">
      <c r="B1473" s="134">
        <v>44252</v>
      </c>
      <c r="C1473" s="135">
        <v>15097.35</v>
      </c>
    </row>
    <row r="1474" spans="2:3" x14ac:dyDescent="0.3">
      <c r="B1474" s="134">
        <v>44253</v>
      </c>
      <c r="C1474" s="135">
        <v>14529.15</v>
      </c>
    </row>
    <row r="1475" spans="2:3" x14ac:dyDescent="0.3">
      <c r="B1475" s="134">
        <v>44256</v>
      </c>
      <c r="C1475" s="135">
        <v>14761.55</v>
      </c>
    </row>
    <row r="1476" spans="2:3" x14ac:dyDescent="0.3">
      <c r="B1476" s="134">
        <v>44257</v>
      </c>
      <c r="C1476" s="135">
        <v>14919.1</v>
      </c>
    </row>
    <row r="1477" spans="2:3" x14ac:dyDescent="0.3">
      <c r="B1477" s="134">
        <v>44258</v>
      </c>
      <c r="C1477" s="135">
        <v>15245.6</v>
      </c>
    </row>
    <row r="1478" spans="2:3" x14ac:dyDescent="0.3">
      <c r="B1478" s="134">
        <v>44259</v>
      </c>
      <c r="C1478" s="135">
        <v>15080.75</v>
      </c>
    </row>
    <row r="1479" spans="2:3" x14ac:dyDescent="0.3">
      <c r="B1479" s="134">
        <v>44260</v>
      </c>
      <c r="C1479" s="135">
        <v>14938.1</v>
      </c>
    </row>
    <row r="1480" spans="2:3" x14ac:dyDescent="0.3">
      <c r="B1480" s="134">
        <v>44263</v>
      </c>
      <c r="C1480" s="135">
        <v>14956.2</v>
      </c>
    </row>
    <row r="1481" spans="2:3" x14ac:dyDescent="0.3">
      <c r="B1481" s="134">
        <v>44264</v>
      </c>
      <c r="C1481" s="135">
        <v>15098.4</v>
      </c>
    </row>
    <row r="1482" spans="2:3" x14ac:dyDescent="0.3">
      <c r="B1482" s="134">
        <v>44265</v>
      </c>
      <c r="C1482" s="135">
        <v>15174.8</v>
      </c>
    </row>
    <row r="1483" spans="2:3" x14ac:dyDescent="0.3">
      <c r="B1483" s="134">
        <v>44267</v>
      </c>
      <c r="C1483" s="135">
        <v>15030.95</v>
      </c>
    </row>
    <row r="1484" spans="2:3" x14ac:dyDescent="0.3">
      <c r="B1484" s="134">
        <v>44270</v>
      </c>
      <c r="C1484" s="135">
        <v>14929.5</v>
      </c>
    </row>
    <row r="1485" spans="2:3" x14ac:dyDescent="0.3">
      <c r="B1485" s="134">
        <v>44271</v>
      </c>
      <c r="C1485" s="135">
        <v>14910.45</v>
      </c>
    </row>
    <row r="1486" spans="2:3" x14ac:dyDescent="0.3">
      <c r="B1486" s="134">
        <v>44272</v>
      </c>
      <c r="C1486" s="135">
        <v>14721.3</v>
      </c>
    </row>
    <row r="1487" spans="2:3" x14ac:dyDescent="0.3">
      <c r="B1487" s="134">
        <v>44273</v>
      </c>
      <c r="C1487" s="135">
        <v>14557.85</v>
      </c>
    </row>
    <row r="1488" spans="2:3" x14ac:dyDescent="0.3">
      <c r="B1488" s="134">
        <v>44274</v>
      </c>
      <c r="C1488" s="135">
        <v>14744</v>
      </c>
    </row>
    <row r="1489" spans="2:3" x14ac:dyDescent="0.3">
      <c r="B1489" s="134">
        <v>44277</v>
      </c>
      <c r="C1489" s="135">
        <v>14736.4</v>
      </c>
    </row>
    <row r="1490" spans="2:3" x14ac:dyDescent="0.3">
      <c r="B1490" s="134">
        <v>44278</v>
      </c>
      <c r="C1490" s="135">
        <v>14814.75</v>
      </c>
    </row>
    <row r="1491" spans="2:3" x14ac:dyDescent="0.3">
      <c r="B1491" s="134">
        <v>44279</v>
      </c>
      <c r="C1491" s="135">
        <v>14549.4</v>
      </c>
    </row>
    <row r="1492" spans="2:3" x14ac:dyDescent="0.3">
      <c r="B1492" s="134">
        <v>44280</v>
      </c>
      <c r="C1492" s="135">
        <v>14324.9</v>
      </c>
    </row>
    <row r="1493" spans="2:3" x14ac:dyDescent="0.3">
      <c r="B1493" s="134">
        <v>44281</v>
      </c>
      <c r="C1493" s="135">
        <v>14507.3</v>
      </c>
    </row>
    <row r="1494" spans="2:3" x14ac:dyDescent="0.3">
      <c r="B1494" s="134">
        <v>44285</v>
      </c>
      <c r="C1494" s="135">
        <v>14845.1</v>
      </c>
    </row>
    <row r="1495" spans="2:3" x14ac:dyDescent="0.3">
      <c r="B1495" s="134">
        <v>44286</v>
      </c>
      <c r="C1495" s="135">
        <v>14690.7</v>
      </c>
    </row>
    <row r="1496" spans="2:3" x14ac:dyDescent="0.3">
      <c r="B1496" s="134">
        <v>44287</v>
      </c>
      <c r="C1496" s="135">
        <v>14867.35</v>
      </c>
    </row>
    <row r="1497" spans="2:3" x14ac:dyDescent="0.3">
      <c r="B1497" s="134">
        <v>44291</v>
      </c>
      <c r="C1497" s="135">
        <v>14637.8</v>
      </c>
    </row>
    <row r="1498" spans="2:3" x14ac:dyDescent="0.3">
      <c r="B1498" s="134">
        <v>44292</v>
      </c>
      <c r="C1498" s="135">
        <v>14683.5</v>
      </c>
    </row>
    <row r="1499" spans="2:3" x14ac:dyDescent="0.3">
      <c r="B1499" s="134">
        <v>44293</v>
      </c>
      <c r="C1499" s="135">
        <v>14819.05</v>
      </c>
    </row>
    <row r="1500" spans="2:3" x14ac:dyDescent="0.3">
      <c r="B1500" s="134">
        <v>44294</v>
      </c>
      <c r="C1500" s="135">
        <v>14873.8</v>
      </c>
    </row>
    <row r="1501" spans="2:3" x14ac:dyDescent="0.3">
      <c r="B1501" s="134">
        <v>44295</v>
      </c>
      <c r="C1501" s="135">
        <v>14834.85</v>
      </c>
    </row>
    <row r="1502" spans="2:3" x14ac:dyDescent="0.3">
      <c r="B1502" s="134">
        <v>44298</v>
      </c>
      <c r="C1502" s="135">
        <v>14310.8</v>
      </c>
    </row>
    <row r="1503" spans="2:3" x14ac:dyDescent="0.3">
      <c r="B1503" s="134">
        <v>44299</v>
      </c>
      <c r="C1503" s="135">
        <v>14504.8</v>
      </c>
    </row>
    <row r="1504" spans="2:3" x14ac:dyDescent="0.3">
      <c r="B1504" s="134">
        <v>44301</v>
      </c>
      <c r="C1504" s="135">
        <v>14581.45</v>
      </c>
    </row>
    <row r="1505" spans="2:3" x14ac:dyDescent="0.3">
      <c r="B1505" s="134">
        <v>44302</v>
      </c>
      <c r="C1505" s="135">
        <v>14617.85</v>
      </c>
    </row>
    <row r="1506" spans="2:3" x14ac:dyDescent="0.3">
      <c r="B1506" s="134">
        <v>44305</v>
      </c>
      <c r="C1506" s="135">
        <v>14359.45</v>
      </c>
    </row>
    <row r="1507" spans="2:3" x14ac:dyDescent="0.3">
      <c r="B1507" s="134">
        <v>44306</v>
      </c>
      <c r="C1507" s="135">
        <v>14296.4</v>
      </c>
    </row>
    <row r="1508" spans="2:3" x14ac:dyDescent="0.3">
      <c r="B1508" s="134">
        <v>44308</v>
      </c>
      <c r="C1508" s="135">
        <v>14406.15</v>
      </c>
    </row>
    <row r="1509" spans="2:3" x14ac:dyDescent="0.3">
      <c r="B1509" s="134">
        <v>44309</v>
      </c>
      <c r="C1509" s="135">
        <v>14341.35</v>
      </c>
    </row>
    <row r="1510" spans="2:3" x14ac:dyDescent="0.3">
      <c r="B1510" s="134">
        <v>44312</v>
      </c>
      <c r="C1510" s="135">
        <v>14485</v>
      </c>
    </row>
    <row r="1511" spans="2:3" x14ac:dyDescent="0.3">
      <c r="B1511" s="134">
        <v>44313</v>
      </c>
      <c r="C1511" s="135">
        <v>14653.05</v>
      </c>
    </row>
    <row r="1512" spans="2:3" x14ac:dyDescent="0.3">
      <c r="B1512" s="134">
        <v>44314</v>
      </c>
      <c r="C1512" s="135">
        <v>14864.55</v>
      </c>
    </row>
    <row r="1513" spans="2:3" x14ac:dyDescent="0.3">
      <c r="B1513" s="134">
        <v>44315</v>
      </c>
      <c r="C1513" s="135">
        <v>14894.9</v>
      </c>
    </row>
    <row r="1514" spans="2:3" x14ac:dyDescent="0.3">
      <c r="B1514" s="134">
        <v>44316</v>
      </c>
      <c r="C1514" s="135">
        <v>14631.1</v>
      </c>
    </row>
    <row r="1515" spans="2:3" x14ac:dyDescent="0.3">
      <c r="B1515" s="134">
        <v>44319</v>
      </c>
      <c r="C1515" s="135">
        <v>14634.15</v>
      </c>
    </row>
    <row r="1516" spans="2:3" x14ac:dyDescent="0.3">
      <c r="B1516" s="134">
        <v>44320</v>
      </c>
      <c r="C1516" s="135">
        <v>14496.5</v>
      </c>
    </row>
    <row r="1517" spans="2:3" x14ac:dyDescent="0.3">
      <c r="B1517" s="134">
        <v>44321</v>
      </c>
      <c r="C1517" s="135">
        <v>14617.85</v>
      </c>
    </row>
    <row r="1518" spans="2:3" x14ac:dyDescent="0.3">
      <c r="B1518" s="134">
        <v>44322</v>
      </c>
      <c r="C1518" s="135">
        <v>14724.8</v>
      </c>
    </row>
    <row r="1519" spans="2:3" x14ac:dyDescent="0.3">
      <c r="B1519" s="134">
        <v>44323</v>
      </c>
      <c r="C1519" s="135">
        <v>14823.15</v>
      </c>
    </row>
    <row r="1520" spans="2:3" x14ac:dyDescent="0.3">
      <c r="B1520" s="134">
        <v>44326</v>
      </c>
      <c r="C1520" s="135">
        <v>14942.35</v>
      </c>
    </row>
    <row r="1521" spans="2:3" x14ac:dyDescent="0.3">
      <c r="B1521" s="134">
        <v>44327</v>
      </c>
      <c r="C1521" s="135">
        <v>14850.75</v>
      </c>
    </row>
    <row r="1522" spans="2:3" x14ac:dyDescent="0.3">
      <c r="B1522" s="134">
        <v>44328</v>
      </c>
      <c r="C1522" s="135">
        <v>14696.5</v>
      </c>
    </row>
    <row r="1523" spans="2:3" x14ac:dyDescent="0.3">
      <c r="B1523" s="134">
        <v>44330</v>
      </c>
      <c r="C1523" s="135">
        <v>14677.8</v>
      </c>
    </row>
    <row r="1524" spans="2:3" x14ac:dyDescent="0.3">
      <c r="B1524" s="134">
        <v>44333</v>
      </c>
      <c r="C1524" s="135">
        <v>14923.15</v>
      </c>
    </row>
    <row r="1525" spans="2:3" x14ac:dyDescent="0.3">
      <c r="B1525" s="134">
        <v>44334</v>
      </c>
      <c r="C1525" s="135">
        <v>15108.1</v>
      </c>
    </row>
    <row r="1526" spans="2:3" x14ac:dyDescent="0.3">
      <c r="B1526" s="134">
        <v>44335</v>
      </c>
      <c r="C1526" s="135">
        <v>15030.15</v>
      </c>
    </row>
    <row r="1527" spans="2:3" x14ac:dyDescent="0.3">
      <c r="B1527" s="134">
        <v>44336</v>
      </c>
      <c r="C1527" s="135">
        <v>14906.05</v>
      </c>
    </row>
    <row r="1528" spans="2:3" x14ac:dyDescent="0.3">
      <c r="B1528" s="134">
        <v>44337</v>
      </c>
      <c r="C1528" s="135">
        <v>15175.3</v>
      </c>
    </row>
    <row r="1529" spans="2:3" x14ac:dyDescent="0.3">
      <c r="B1529" s="134">
        <v>44340</v>
      </c>
      <c r="C1529" s="135">
        <v>15197.7</v>
      </c>
    </row>
    <row r="1530" spans="2:3" x14ac:dyDescent="0.3">
      <c r="B1530" s="134">
        <v>44341</v>
      </c>
      <c r="C1530" s="135">
        <v>15208.45</v>
      </c>
    </row>
    <row r="1531" spans="2:3" x14ac:dyDescent="0.3">
      <c r="B1531" s="134">
        <v>44342</v>
      </c>
      <c r="C1531" s="135">
        <v>15301.45</v>
      </c>
    </row>
    <row r="1532" spans="2:3" x14ac:dyDescent="0.3">
      <c r="B1532" s="134">
        <v>44343</v>
      </c>
      <c r="C1532" s="135">
        <v>15337.85</v>
      </c>
    </row>
    <row r="1533" spans="2:3" x14ac:dyDescent="0.3">
      <c r="B1533" s="134">
        <v>44344</v>
      </c>
      <c r="C1533" s="135">
        <v>15435.65</v>
      </c>
    </row>
    <row r="1534" spans="2:3" x14ac:dyDescent="0.3">
      <c r="B1534" s="134">
        <v>44347</v>
      </c>
      <c r="C1534" s="135">
        <v>15582.8</v>
      </c>
    </row>
    <row r="1535" spans="2:3" x14ac:dyDescent="0.3">
      <c r="B1535" s="134">
        <v>44348</v>
      </c>
      <c r="C1535" s="135">
        <v>15574.85</v>
      </c>
    </row>
    <row r="1536" spans="2:3" x14ac:dyDescent="0.3">
      <c r="B1536" s="134">
        <v>44349</v>
      </c>
      <c r="C1536" s="135">
        <v>15576.2</v>
      </c>
    </row>
    <row r="1537" spans="2:3" x14ac:dyDescent="0.3">
      <c r="B1537" s="134">
        <v>44350</v>
      </c>
      <c r="C1537" s="135">
        <v>15690.35</v>
      </c>
    </row>
    <row r="1538" spans="2:3" x14ac:dyDescent="0.3">
      <c r="B1538" s="134">
        <v>44351</v>
      </c>
      <c r="C1538" s="135">
        <v>15670.25</v>
      </c>
    </row>
    <row r="1539" spans="2:3" x14ac:dyDescent="0.3">
      <c r="B1539" s="134">
        <v>44354</v>
      </c>
      <c r="C1539" s="135">
        <v>15751.65</v>
      </c>
    </row>
    <row r="1540" spans="2:3" x14ac:dyDescent="0.3">
      <c r="B1540" s="134">
        <v>44355</v>
      </c>
      <c r="C1540" s="135">
        <v>15740.1</v>
      </c>
    </row>
    <row r="1541" spans="2:3" x14ac:dyDescent="0.3">
      <c r="B1541" s="134">
        <v>44356</v>
      </c>
      <c r="C1541" s="135">
        <v>15635.35</v>
      </c>
    </row>
    <row r="1542" spans="2:3" x14ac:dyDescent="0.3">
      <c r="B1542" s="134">
        <v>44357</v>
      </c>
      <c r="C1542" s="135">
        <v>15737.75</v>
      </c>
    </row>
    <row r="1543" spans="2:3" x14ac:dyDescent="0.3">
      <c r="B1543" s="134">
        <v>44358</v>
      </c>
      <c r="C1543" s="135">
        <v>15799.35</v>
      </c>
    </row>
    <row r="1544" spans="2:3" x14ac:dyDescent="0.3">
      <c r="B1544" s="134">
        <v>44361</v>
      </c>
      <c r="C1544" s="135">
        <v>15811.85</v>
      </c>
    </row>
    <row r="1545" spans="2:3" x14ac:dyDescent="0.3">
      <c r="B1545" s="134">
        <v>44362</v>
      </c>
      <c r="C1545" s="135">
        <v>15869.25</v>
      </c>
    </row>
    <row r="1546" spans="2:3" x14ac:dyDescent="0.3">
      <c r="B1546" s="134">
        <v>44363</v>
      </c>
      <c r="C1546" s="135">
        <v>15767.55</v>
      </c>
    </row>
    <row r="1547" spans="2:3" x14ac:dyDescent="0.3">
      <c r="B1547" s="134">
        <v>44364</v>
      </c>
      <c r="C1547" s="135">
        <v>15691.4</v>
      </c>
    </row>
    <row r="1548" spans="2:3" x14ac:dyDescent="0.3">
      <c r="B1548" s="134">
        <v>44365</v>
      </c>
      <c r="C1548" s="135">
        <v>15683.35</v>
      </c>
    </row>
    <row r="1549" spans="2:3" x14ac:dyDescent="0.3">
      <c r="B1549" s="134">
        <v>44368</v>
      </c>
      <c r="C1549" s="135">
        <v>15746.5</v>
      </c>
    </row>
    <row r="1550" spans="2:3" x14ac:dyDescent="0.3">
      <c r="B1550" s="134">
        <v>44369</v>
      </c>
      <c r="C1550" s="135">
        <v>15772.75</v>
      </c>
    </row>
    <row r="1551" spans="2:3" x14ac:dyDescent="0.3">
      <c r="B1551" s="134">
        <v>44370</v>
      </c>
      <c r="C1551" s="135">
        <v>15686.95</v>
      </c>
    </row>
    <row r="1552" spans="2:3" x14ac:dyDescent="0.3">
      <c r="B1552" s="134">
        <v>44371</v>
      </c>
      <c r="C1552" s="135">
        <v>15790.45</v>
      </c>
    </row>
    <row r="1553" spans="2:3" x14ac:dyDescent="0.3">
      <c r="B1553" s="134">
        <v>44372</v>
      </c>
      <c r="C1553" s="135">
        <v>15860.35</v>
      </c>
    </row>
    <row r="1554" spans="2:3" x14ac:dyDescent="0.3">
      <c r="B1554" s="134">
        <v>44375</v>
      </c>
      <c r="C1554" s="135">
        <v>15814.7</v>
      </c>
    </row>
    <row r="1555" spans="2:3" x14ac:dyDescent="0.3">
      <c r="B1555" s="134">
        <v>44376</v>
      </c>
      <c r="C1555" s="135">
        <v>15748.45</v>
      </c>
    </row>
    <row r="1556" spans="2:3" x14ac:dyDescent="0.3">
      <c r="B1556" s="134">
        <v>44377</v>
      </c>
      <c r="C1556" s="135">
        <v>15721.5</v>
      </c>
    </row>
    <row r="1557" spans="2:3" x14ac:dyDescent="0.3">
      <c r="B1557" s="134">
        <v>44378</v>
      </c>
      <c r="C1557" s="135">
        <v>15680</v>
      </c>
    </row>
    <row r="1558" spans="2:3" x14ac:dyDescent="0.3">
      <c r="B1558" s="134">
        <v>44379</v>
      </c>
      <c r="C1558" s="135">
        <v>15722.2</v>
      </c>
    </row>
    <row r="1559" spans="2:3" x14ac:dyDescent="0.3">
      <c r="B1559" s="134">
        <v>44382</v>
      </c>
      <c r="C1559" s="135">
        <v>15834.35</v>
      </c>
    </row>
    <row r="1560" spans="2:3" x14ac:dyDescent="0.3">
      <c r="B1560" s="134">
        <v>44383</v>
      </c>
      <c r="C1560" s="135">
        <v>15818.25</v>
      </c>
    </row>
    <row r="1561" spans="2:3" x14ac:dyDescent="0.3">
      <c r="B1561" s="134">
        <v>44384</v>
      </c>
      <c r="C1561" s="135">
        <v>15879.65</v>
      </c>
    </row>
    <row r="1562" spans="2:3" x14ac:dyDescent="0.3">
      <c r="B1562" s="134">
        <v>44385</v>
      </c>
      <c r="C1562" s="135">
        <v>15727.9</v>
      </c>
    </row>
    <row r="1563" spans="2:3" x14ac:dyDescent="0.3">
      <c r="B1563" s="134">
        <v>44386</v>
      </c>
      <c r="C1563" s="135">
        <v>15689.8</v>
      </c>
    </row>
    <row r="1564" spans="2:3" x14ac:dyDescent="0.3">
      <c r="B1564" s="134">
        <v>44389</v>
      </c>
      <c r="C1564" s="135">
        <v>15692.6</v>
      </c>
    </row>
    <row r="1565" spans="2:3" x14ac:dyDescent="0.3">
      <c r="B1565" s="134">
        <v>44390</v>
      </c>
      <c r="C1565" s="135">
        <v>15812.35</v>
      </c>
    </row>
    <row r="1566" spans="2:3" x14ac:dyDescent="0.3">
      <c r="B1566" s="134">
        <v>44391</v>
      </c>
      <c r="C1566" s="135">
        <v>15853.95</v>
      </c>
    </row>
    <row r="1567" spans="2:3" x14ac:dyDescent="0.3">
      <c r="B1567" s="134">
        <v>44392</v>
      </c>
      <c r="C1567" s="135">
        <v>15924.2</v>
      </c>
    </row>
    <row r="1568" spans="2:3" x14ac:dyDescent="0.3">
      <c r="B1568" s="134">
        <v>44393</v>
      </c>
      <c r="C1568" s="135">
        <v>15923.4</v>
      </c>
    </row>
    <row r="1569" spans="2:3" x14ac:dyDescent="0.3">
      <c r="B1569" s="134">
        <v>44396</v>
      </c>
      <c r="C1569" s="135">
        <v>15752.4</v>
      </c>
    </row>
    <row r="1570" spans="2:3" x14ac:dyDescent="0.3">
      <c r="B1570" s="134">
        <v>44397</v>
      </c>
      <c r="C1570" s="135">
        <v>15632.1</v>
      </c>
    </row>
    <row r="1571" spans="2:3" x14ac:dyDescent="0.3">
      <c r="B1571" s="134">
        <v>44399</v>
      </c>
      <c r="C1571" s="135">
        <v>15824.05</v>
      </c>
    </row>
    <row r="1572" spans="2:3" x14ac:dyDescent="0.3">
      <c r="B1572" s="134">
        <v>44400</v>
      </c>
      <c r="C1572" s="135">
        <v>15856.05</v>
      </c>
    </row>
    <row r="1573" spans="2:3" x14ac:dyDescent="0.3">
      <c r="B1573" s="134">
        <v>44403</v>
      </c>
      <c r="C1573" s="135">
        <v>15824.45</v>
      </c>
    </row>
    <row r="1574" spans="2:3" x14ac:dyDescent="0.3">
      <c r="B1574" s="134">
        <v>44404</v>
      </c>
      <c r="C1574" s="135">
        <v>15746.45</v>
      </c>
    </row>
    <row r="1575" spans="2:3" x14ac:dyDescent="0.3">
      <c r="B1575" s="134">
        <v>44405</v>
      </c>
      <c r="C1575" s="135">
        <v>15709.4</v>
      </c>
    </row>
    <row r="1576" spans="2:3" x14ac:dyDescent="0.3">
      <c r="B1576" s="134">
        <v>44406</v>
      </c>
      <c r="C1576" s="135">
        <v>15778.45</v>
      </c>
    </row>
    <row r="1577" spans="2:3" x14ac:dyDescent="0.3">
      <c r="B1577" s="134">
        <v>44407</v>
      </c>
      <c r="C1577" s="135">
        <v>15763.05</v>
      </c>
    </row>
    <row r="1578" spans="2:3" x14ac:dyDescent="0.3">
      <c r="B1578" s="134">
        <v>44410</v>
      </c>
      <c r="C1578" s="135">
        <v>15885.15</v>
      </c>
    </row>
    <row r="1579" spans="2:3" x14ac:dyDescent="0.3">
      <c r="B1579" s="134">
        <v>44411</v>
      </c>
      <c r="C1579" s="135">
        <v>16130.75</v>
      </c>
    </row>
    <row r="1580" spans="2:3" x14ac:dyDescent="0.3">
      <c r="B1580" s="134">
        <v>44412</v>
      </c>
      <c r="C1580" s="135">
        <v>16258.8</v>
      </c>
    </row>
    <row r="1581" spans="2:3" x14ac:dyDescent="0.3">
      <c r="B1581" s="134">
        <v>44413</v>
      </c>
      <c r="C1581" s="135">
        <v>16294.6</v>
      </c>
    </row>
    <row r="1582" spans="2:3" x14ac:dyDescent="0.3">
      <c r="B1582" s="134">
        <v>44414</v>
      </c>
      <c r="C1582" s="135">
        <v>16238.2</v>
      </c>
    </row>
    <row r="1583" spans="2:3" x14ac:dyDescent="0.3">
      <c r="B1583" s="134">
        <v>44417</v>
      </c>
      <c r="C1583" s="135">
        <v>16258.25</v>
      </c>
    </row>
    <row r="1584" spans="2:3" x14ac:dyDescent="0.3">
      <c r="B1584" s="134">
        <v>44418</v>
      </c>
      <c r="C1584" s="135">
        <v>16280.1</v>
      </c>
    </row>
    <row r="1585" spans="2:3" x14ac:dyDescent="0.3">
      <c r="B1585" s="134">
        <v>44419</v>
      </c>
      <c r="C1585" s="135">
        <v>16282.25</v>
      </c>
    </row>
    <row r="1586" spans="2:3" x14ac:dyDescent="0.3">
      <c r="B1586" s="134">
        <v>44420</v>
      </c>
      <c r="C1586" s="135">
        <v>16364.4</v>
      </c>
    </row>
    <row r="1587" spans="2:3" x14ac:dyDescent="0.3">
      <c r="B1587" s="134">
        <v>44421</v>
      </c>
      <c r="C1587" s="135">
        <v>16529.099999999999</v>
      </c>
    </row>
    <row r="1588" spans="2:3" x14ac:dyDescent="0.3">
      <c r="B1588" s="134">
        <v>44424</v>
      </c>
      <c r="C1588" s="135">
        <v>16563.05</v>
      </c>
    </row>
    <row r="1589" spans="2:3" x14ac:dyDescent="0.3">
      <c r="B1589" s="134">
        <v>44425</v>
      </c>
      <c r="C1589" s="135">
        <v>16614.599999999999</v>
      </c>
    </row>
    <row r="1590" spans="2:3" x14ac:dyDescent="0.3">
      <c r="B1590" s="134">
        <v>44426</v>
      </c>
      <c r="C1590" s="135">
        <v>16568.849999999999</v>
      </c>
    </row>
    <row r="1591" spans="2:3" x14ac:dyDescent="0.3">
      <c r="B1591" s="134">
        <v>44428</v>
      </c>
      <c r="C1591" s="135">
        <v>16450.5</v>
      </c>
    </row>
    <row r="1592" spans="2:3" x14ac:dyDescent="0.3">
      <c r="B1592" s="134">
        <v>44431</v>
      </c>
      <c r="C1592" s="135">
        <v>16496.45</v>
      </c>
    </row>
    <row r="1593" spans="2:3" x14ac:dyDescent="0.3">
      <c r="B1593" s="134">
        <v>44432</v>
      </c>
      <c r="C1593" s="135">
        <v>16624.599999999999</v>
      </c>
    </row>
    <row r="1594" spans="2:3" x14ac:dyDescent="0.3">
      <c r="B1594" s="134">
        <v>44433</v>
      </c>
      <c r="C1594" s="135">
        <v>16634.650000000001</v>
      </c>
    </row>
    <row r="1595" spans="2:3" x14ac:dyDescent="0.3">
      <c r="B1595" s="134">
        <v>44434</v>
      </c>
      <c r="C1595" s="135">
        <v>16636.900000000001</v>
      </c>
    </row>
    <row r="1596" spans="2:3" x14ac:dyDescent="0.3">
      <c r="B1596" s="134">
        <v>44435</v>
      </c>
      <c r="C1596" s="135">
        <v>16705.2</v>
      </c>
    </row>
    <row r="1597" spans="2:3" x14ac:dyDescent="0.3">
      <c r="B1597" s="134">
        <v>44438</v>
      </c>
      <c r="C1597" s="135">
        <v>16931.05</v>
      </c>
    </row>
    <row r="1598" spans="2:3" x14ac:dyDescent="0.3">
      <c r="B1598" s="134">
        <v>44439</v>
      </c>
      <c r="C1598" s="135">
        <v>17132.2</v>
      </c>
    </row>
    <row r="1599" spans="2:3" x14ac:dyDescent="0.3">
      <c r="B1599" s="134">
        <v>44440</v>
      </c>
      <c r="C1599" s="135">
        <v>17076.25</v>
      </c>
    </row>
    <row r="1600" spans="2:3" x14ac:dyDescent="0.3">
      <c r="B1600" s="134">
        <v>44441</v>
      </c>
      <c r="C1600" s="135">
        <v>17234.150000000001</v>
      </c>
    </row>
    <row r="1601" spans="2:3" x14ac:dyDescent="0.3">
      <c r="B1601" s="134">
        <v>44442</v>
      </c>
      <c r="C1601" s="135">
        <v>17323.599999999999</v>
      </c>
    </row>
    <row r="1602" spans="2:3" x14ac:dyDescent="0.3">
      <c r="B1602" s="134">
        <v>44445</v>
      </c>
      <c r="C1602" s="135">
        <v>17377.8</v>
      </c>
    </row>
    <row r="1603" spans="2:3" x14ac:dyDescent="0.3">
      <c r="B1603" s="134">
        <v>44446</v>
      </c>
      <c r="C1603" s="135">
        <v>17362.099999999999</v>
      </c>
    </row>
    <row r="1604" spans="2:3" x14ac:dyDescent="0.3">
      <c r="B1604" s="134">
        <v>44447</v>
      </c>
      <c r="C1604" s="135">
        <v>17353.5</v>
      </c>
    </row>
    <row r="1605" spans="2:3" x14ac:dyDescent="0.3">
      <c r="B1605" s="134">
        <v>44448</v>
      </c>
      <c r="C1605" s="135">
        <v>17369.25</v>
      </c>
    </row>
    <row r="1606" spans="2:3" x14ac:dyDescent="0.3">
      <c r="B1606" s="134">
        <v>44452</v>
      </c>
      <c r="C1606" s="135">
        <v>17355.3</v>
      </c>
    </row>
    <row r="1607" spans="2:3" x14ac:dyDescent="0.3">
      <c r="B1607" s="134">
        <v>44453</v>
      </c>
      <c r="C1607" s="135">
        <v>17380</v>
      </c>
    </row>
    <row r="1608" spans="2:3" x14ac:dyDescent="0.3">
      <c r="B1608" s="134">
        <v>44454</v>
      </c>
      <c r="C1608" s="135">
        <v>17519.45</v>
      </c>
    </row>
    <row r="1609" spans="2:3" x14ac:dyDescent="0.3">
      <c r="B1609" s="134">
        <v>44455</v>
      </c>
      <c r="C1609" s="135">
        <v>17629.5</v>
      </c>
    </row>
    <row r="1610" spans="2:3" x14ac:dyDescent="0.3">
      <c r="B1610" s="134">
        <v>44456</v>
      </c>
      <c r="C1610" s="135">
        <v>17585.150000000001</v>
      </c>
    </row>
    <row r="1611" spans="2:3" x14ac:dyDescent="0.3">
      <c r="B1611" s="134">
        <v>44459</v>
      </c>
      <c r="C1611" s="135">
        <v>17396.900000000001</v>
      </c>
    </row>
    <row r="1612" spans="2:3" x14ac:dyDescent="0.3">
      <c r="B1612" s="134">
        <v>44460</v>
      </c>
      <c r="C1612" s="135">
        <v>17562</v>
      </c>
    </row>
    <row r="1613" spans="2:3" x14ac:dyDescent="0.3">
      <c r="B1613" s="134">
        <v>44461</v>
      </c>
      <c r="C1613" s="135">
        <v>17546.650000000001</v>
      </c>
    </row>
    <row r="1614" spans="2:3" x14ac:dyDescent="0.3">
      <c r="B1614" s="134">
        <v>44462</v>
      </c>
      <c r="C1614" s="135">
        <v>17822.95</v>
      </c>
    </row>
    <row r="1615" spans="2:3" x14ac:dyDescent="0.3">
      <c r="B1615" s="134">
        <v>44463</v>
      </c>
      <c r="C1615" s="135">
        <v>17853.2</v>
      </c>
    </row>
    <row r="1616" spans="2:3" x14ac:dyDescent="0.3">
      <c r="B1616" s="134">
        <v>44466</v>
      </c>
      <c r="C1616" s="135">
        <v>17855.099999999999</v>
      </c>
    </row>
    <row r="1617" spans="2:3" x14ac:dyDescent="0.3">
      <c r="B1617" s="134">
        <v>44467</v>
      </c>
      <c r="C1617" s="135">
        <v>17748.599999999999</v>
      </c>
    </row>
    <row r="1618" spans="2:3" x14ac:dyDescent="0.3">
      <c r="B1618" s="134">
        <v>44468</v>
      </c>
      <c r="C1618" s="135">
        <v>17711.3</v>
      </c>
    </row>
    <row r="1619" spans="2:3" x14ac:dyDescent="0.3">
      <c r="B1619" s="134">
        <v>44469</v>
      </c>
      <c r="C1619" s="135">
        <v>17618.150000000001</v>
      </c>
    </row>
    <row r="1620" spans="2:3" x14ac:dyDescent="0.3">
      <c r="B1620" s="134">
        <v>44470</v>
      </c>
      <c r="C1620" s="135">
        <v>17532.05</v>
      </c>
    </row>
    <row r="1621" spans="2:3" x14ac:dyDescent="0.3">
      <c r="B1621" s="134">
        <v>44473</v>
      </c>
      <c r="C1621" s="135">
        <v>17691.25</v>
      </c>
    </row>
    <row r="1622" spans="2:3" x14ac:dyDescent="0.3">
      <c r="B1622" s="134">
        <v>44474</v>
      </c>
      <c r="C1622" s="135">
        <v>17822.3</v>
      </c>
    </row>
    <row r="1623" spans="2:3" x14ac:dyDescent="0.3">
      <c r="B1623" s="134">
        <v>44475</v>
      </c>
      <c r="C1623" s="135">
        <v>17646</v>
      </c>
    </row>
    <row r="1624" spans="2:3" x14ac:dyDescent="0.3">
      <c r="B1624" s="134">
        <v>44476</v>
      </c>
      <c r="C1624" s="135">
        <v>17790.349999999999</v>
      </c>
    </row>
    <row r="1625" spans="2:3" x14ac:dyDescent="0.3">
      <c r="B1625" s="134">
        <v>44477</v>
      </c>
      <c r="C1625" s="135">
        <v>17895.2</v>
      </c>
    </row>
    <row r="1626" spans="2:3" x14ac:dyDescent="0.3">
      <c r="B1626" s="134">
        <v>44480</v>
      </c>
      <c r="C1626" s="135">
        <v>17945.95</v>
      </c>
    </row>
    <row r="1627" spans="2:3" x14ac:dyDescent="0.3">
      <c r="B1627" s="134">
        <v>44481</v>
      </c>
      <c r="C1627" s="135">
        <v>17991.95</v>
      </c>
    </row>
    <row r="1628" spans="2:3" x14ac:dyDescent="0.3">
      <c r="B1628" s="134">
        <v>44482</v>
      </c>
      <c r="C1628" s="135">
        <v>18161.75</v>
      </c>
    </row>
    <row r="1629" spans="2:3" x14ac:dyDescent="0.3">
      <c r="B1629" s="134">
        <v>44483</v>
      </c>
      <c r="C1629" s="135">
        <v>18338.55</v>
      </c>
    </row>
    <row r="1630" spans="2:3" x14ac:dyDescent="0.3">
      <c r="B1630" s="134">
        <v>44487</v>
      </c>
      <c r="C1630" s="135">
        <v>18477.05</v>
      </c>
    </row>
    <row r="1631" spans="2:3" x14ac:dyDescent="0.3">
      <c r="B1631" s="134">
        <v>44488</v>
      </c>
      <c r="C1631" s="135">
        <v>18418.75</v>
      </c>
    </row>
    <row r="1632" spans="2:3" x14ac:dyDescent="0.3">
      <c r="B1632" s="134">
        <v>44489</v>
      </c>
      <c r="C1632" s="135">
        <v>18266.599999999999</v>
      </c>
    </row>
    <row r="1633" spans="2:3" x14ac:dyDescent="0.3">
      <c r="B1633" s="134">
        <v>44490</v>
      </c>
      <c r="C1633" s="135">
        <v>18178.099999999999</v>
      </c>
    </row>
    <row r="1634" spans="2:3" x14ac:dyDescent="0.3">
      <c r="B1634" s="134">
        <v>44491</v>
      </c>
      <c r="C1634" s="135">
        <v>18114.900000000001</v>
      </c>
    </row>
    <row r="1635" spans="2:3" x14ac:dyDescent="0.3">
      <c r="B1635" s="134">
        <v>44494</v>
      </c>
      <c r="C1635" s="135">
        <v>18125.400000000001</v>
      </c>
    </row>
    <row r="1636" spans="2:3" x14ac:dyDescent="0.3">
      <c r="B1636" s="134">
        <v>44495</v>
      </c>
      <c r="C1636" s="135">
        <v>18268.400000000001</v>
      </c>
    </row>
    <row r="1637" spans="2:3" x14ac:dyDescent="0.3">
      <c r="B1637" s="134">
        <v>44496</v>
      </c>
      <c r="C1637" s="135">
        <v>18210.95</v>
      </c>
    </row>
    <row r="1638" spans="2:3" x14ac:dyDescent="0.3">
      <c r="B1638" s="134">
        <v>44497</v>
      </c>
      <c r="C1638" s="135">
        <v>17857.25</v>
      </c>
    </row>
    <row r="1639" spans="2:3" x14ac:dyDescent="0.3">
      <c r="B1639" s="134">
        <v>44498</v>
      </c>
      <c r="C1639" s="135">
        <v>17671.650000000001</v>
      </c>
    </row>
    <row r="1640" spans="2:3" x14ac:dyDescent="0.3">
      <c r="B1640" s="134">
        <v>44501</v>
      </c>
      <c r="C1640" s="135">
        <v>17929.650000000001</v>
      </c>
    </row>
    <row r="1641" spans="2:3" x14ac:dyDescent="0.3">
      <c r="B1641" s="134">
        <v>44502</v>
      </c>
      <c r="C1641" s="135">
        <v>17888.95</v>
      </c>
    </row>
    <row r="1642" spans="2:3" x14ac:dyDescent="0.3">
      <c r="B1642" s="134">
        <v>44503</v>
      </c>
      <c r="C1642" s="135">
        <v>17829.2</v>
      </c>
    </row>
    <row r="1643" spans="2:3" x14ac:dyDescent="0.3">
      <c r="B1643" s="134">
        <v>44504</v>
      </c>
      <c r="C1643" s="135">
        <v>17916.8</v>
      </c>
    </row>
    <row r="1644" spans="2:3" x14ac:dyDescent="0.3">
      <c r="B1644" s="134">
        <v>44508</v>
      </c>
      <c r="C1644" s="135">
        <v>18068.55</v>
      </c>
    </row>
    <row r="1645" spans="2:3" x14ac:dyDescent="0.3">
      <c r="B1645" s="134">
        <v>44509</v>
      </c>
      <c r="C1645" s="135">
        <v>18044.25</v>
      </c>
    </row>
    <row r="1646" spans="2:3" x14ac:dyDescent="0.3">
      <c r="B1646" s="134">
        <v>44510</v>
      </c>
      <c r="C1646" s="135">
        <v>18017.2</v>
      </c>
    </row>
    <row r="1647" spans="2:3" x14ac:dyDescent="0.3">
      <c r="B1647" s="134">
        <v>44511</v>
      </c>
      <c r="C1647" s="135">
        <v>17873.599999999999</v>
      </c>
    </row>
    <row r="1648" spans="2:3" x14ac:dyDescent="0.3">
      <c r="B1648" s="134">
        <v>44512</v>
      </c>
      <c r="C1648" s="135">
        <v>18102.75</v>
      </c>
    </row>
    <row r="1649" spans="2:3" x14ac:dyDescent="0.3">
      <c r="B1649" s="134">
        <v>44515</v>
      </c>
      <c r="C1649" s="135">
        <v>18109.45</v>
      </c>
    </row>
    <row r="1650" spans="2:3" x14ac:dyDescent="0.3">
      <c r="B1650" s="134">
        <v>44516</v>
      </c>
      <c r="C1650" s="135">
        <v>17999.2</v>
      </c>
    </row>
    <row r="1651" spans="2:3" x14ac:dyDescent="0.3">
      <c r="B1651" s="134">
        <v>44517</v>
      </c>
      <c r="C1651" s="135">
        <v>17898.650000000001</v>
      </c>
    </row>
    <row r="1652" spans="2:3" x14ac:dyDescent="0.3">
      <c r="B1652" s="134">
        <v>44518</v>
      </c>
      <c r="C1652" s="135">
        <v>17764.8</v>
      </c>
    </row>
    <row r="1653" spans="2:3" x14ac:dyDescent="0.3">
      <c r="B1653" s="134">
        <v>44522</v>
      </c>
      <c r="C1653" s="135">
        <v>17416.55</v>
      </c>
    </row>
    <row r="1654" spans="2:3" x14ac:dyDescent="0.3">
      <c r="B1654" s="134">
        <v>44523</v>
      </c>
      <c r="C1654" s="135">
        <v>17503.349999999999</v>
      </c>
    </row>
    <row r="1655" spans="2:3" x14ac:dyDescent="0.3">
      <c r="B1655" s="134">
        <v>44524</v>
      </c>
      <c r="C1655" s="135">
        <v>17415.05</v>
      </c>
    </row>
    <row r="1656" spans="2:3" x14ac:dyDescent="0.3">
      <c r="B1656" s="134">
        <v>44525</v>
      </c>
      <c r="C1656" s="135">
        <v>17536.25</v>
      </c>
    </row>
    <row r="1657" spans="2:3" x14ac:dyDescent="0.3">
      <c r="B1657" s="134">
        <v>44526</v>
      </c>
      <c r="C1657" s="135">
        <v>17026.45</v>
      </c>
    </row>
    <row r="1658" spans="2:3" x14ac:dyDescent="0.3">
      <c r="B1658" s="134">
        <v>44529</v>
      </c>
      <c r="C1658" s="135">
        <v>17053.95</v>
      </c>
    </row>
    <row r="1659" spans="2:3" x14ac:dyDescent="0.3">
      <c r="B1659" s="134">
        <v>44530</v>
      </c>
      <c r="C1659" s="135">
        <v>16983.2</v>
      </c>
    </row>
    <row r="1660" spans="2:3" x14ac:dyDescent="0.3">
      <c r="B1660" s="134">
        <v>44531</v>
      </c>
      <c r="C1660" s="135">
        <v>17166.900000000001</v>
      </c>
    </row>
    <row r="1661" spans="2:3" x14ac:dyDescent="0.3">
      <c r="B1661" s="134">
        <v>44532</v>
      </c>
      <c r="C1661" s="135">
        <v>17401.650000000001</v>
      </c>
    </row>
    <row r="1662" spans="2:3" x14ac:dyDescent="0.3">
      <c r="B1662" s="134">
        <v>44533</v>
      </c>
      <c r="C1662" s="135">
        <v>17196.7</v>
      </c>
    </row>
    <row r="1663" spans="2:3" x14ac:dyDescent="0.3">
      <c r="B1663" s="134">
        <v>44536</v>
      </c>
      <c r="C1663" s="135">
        <v>16912.25</v>
      </c>
    </row>
    <row r="1664" spans="2:3" x14ac:dyDescent="0.3">
      <c r="B1664" s="134">
        <v>44537</v>
      </c>
      <c r="C1664" s="135">
        <v>17176.7</v>
      </c>
    </row>
    <row r="1665" spans="2:3" x14ac:dyDescent="0.3">
      <c r="B1665" s="134">
        <v>44538</v>
      </c>
      <c r="C1665" s="135">
        <v>17469.75</v>
      </c>
    </row>
    <row r="1666" spans="2:3" x14ac:dyDescent="0.3">
      <c r="B1666" s="134">
        <v>44539</v>
      </c>
      <c r="C1666" s="135">
        <v>17516.849999999999</v>
      </c>
    </row>
    <row r="1667" spans="2:3" x14ac:dyDescent="0.3">
      <c r="B1667" s="134">
        <v>44540</v>
      </c>
      <c r="C1667" s="135">
        <v>17511.3</v>
      </c>
    </row>
    <row r="1668" spans="2:3" x14ac:dyDescent="0.3">
      <c r="B1668" s="134">
        <v>44543</v>
      </c>
      <c r="C1668" s="135">
        <v>17368.25</v>
      </c>
    </row>
    <row r="1669" spans="2:3" x14ac:dyDescent="0.3">
      <c r="B1669" s="134">
        <v>44544</v>
      </c>
      <c r="C1669" s="135">
        <v>17324.900000000001</v>
      </c>
    </row>
    <row r="1670" spans="2:3" x14ac:dyDescent="0.3">
      <c r="B1670" s="134">
        <v>44545</v>
      </c>
      <c r="C1670" s="135">
        <v>17221.400000000001</v>
      </c>
    </row>
    <row r="1671" spans="2:3" x14ac:dyDescent="0.3">
      <c r="B1671" s="134">
        <v>44546</v>
      </c>
      <c r="C1671" s="135">
        <v>17248.400000000001</v>
      </c>
    </row>
    <row r="1672" spans="2:3" x14ac:dyDescent="0.3">
      <c r="B1672" s="134">
        <v>44547</v>
      </c>
      <c r="C1672" s="135">
        <v>16985.2</v>
      </c>
    </row>
    <row r="1673" spans="2:3" x14ac:dyDescent="0.3">
      <c r="B1673" s="134">
        <v>44550</v>
      </c>
      <c r="C1673" s="135">
        <v>16614.2</v>
      </c>
    </row>
    <row r="1674" spans="2:3" x14ac:dyDescent="0.3">
      <c r="B1674" s="134">
        <v>44551</v>
      </c>
      <c r="C1674" s="135">
        <v>16770.849999999999</v>
      </c>
    </row>
    <row r="1675" spans="2:3" x14ac:dyDescent="0.3">
      <c r="B1675" s="134">
        <v>44552</v>
      </c>
      <c r="C1675" s="135">
        <v>16955.45</v>
      </c>
    </row>
    <row r="1676" spans="2:3" x14ac:dyDescent="0.3">
      <c r="B1676" s="134">
        <v>44553</v>
      </c>
      <c r="C1676" s="135">
        <v>17072.599999999999</v>
      </c>
    </row>
    <row r="1677" spans="2:3" x14ac:dyDescent="0.3">
      <c r="B1677" s="134">
        <v>44554</v>
      </c>
      <c r="C1677" s="135">
        <v>17003.75</v>
      </c>
    </row>
    <row r="1678" spans="2:3" x14ac:dyDescent="0.3">
      <c r="B1678" s="134">
        <v>44557</v>
      </c>
      <c r="C1678" s="135">
        <v>17086.25</v>
      </c>
    </row>
    <row r="1679" spans="2:3" x14ac:dyDescent="0.3">
      <c r="B1679" s="134">
        <v>44558</v>
      </c>
      <c r="C1679" s="135">
        <v>17233.25</v>
      </c>
    </row>
    <row r="1680" spans="2:3" x14ac:dyDescent="0.3">
      <c r="B1680" s="134">
        <v>44559</v>
      </c>
      <c r="C1680" s="135">
        <v>17213.599999999999</v>
      </c>
    </row>
    <row r="1681" spans="2:3" x14ac:dyDescent="0.3">
      <c r="B1681" s="134">
        <v>44560</v>
      </c>
      <c r="C1681" s="135">
        <v>17203.95</v>
      </c>
    </row>
    <row r="1682" spans="2:3" x14ac:dyDescent="0.3">
      <c r="B1682" s="134">
        <v>44561</v>
      </c>
      <c r="C1682" s="135">
        <v>17354.05</v>
      </c>
    </row>
    <row r="1683" spans="2:3" x14ac:dyDescent="0.3">
      <c r="B1683" s="134">
        <v>44564</v>
      </c>
      <c r="C1683" s="135">
        <v>17625.7</v>
      </c>
    </row>
    <row r="1684" spans="2:3" x14ac:dyDescent="0.3">
      <c r="B1684" s="134">
        <v>44565</v>
      </c>
      <c r="C1684" s="135">
        <v>17805.25</v>
      </c>
    </row>
    <row r="1685" spans="2:3" x14ac:dyDescent="0.3">
      <c r="B1685" s="134">
        <v>44566</v>
      </c>
      <c r="C1685" s="135">
        <v>17925.25</v>
      </c>
    </row>
    <row r="1686" spans="2:3" x14ac:dyDescent="0.3">
      <c r="B1686" s="134">
        <v>44567</v>
      </c>
      <c r="C1686" s="135">
        <v>17745.900000000001</v>
      </c>
    </row>
    <row r="1687" spans="2:3" x14ac:dyDescent="0.3">
      <c r="B1687" s="134">
        <v>44568</v>
      </c>
      <c r="C1687" s="135">
        <v>17812.7</v>
      </c>
    </row>
    <row r="1688" spans="2:3" x14ac:dyDescent="0.3">
      <c r="B1688" s="134">
        <v>44571</v>
      </c>
      <c r="C1688" s="135">
        <v>18003.3</v>
      </c>
    </row>
    <row r="1689" spans="2:3" x14ac:dyDescent="0.3">
      <c r="B1689" s="134">
        <v>44572</v>
      </c>
      <c r="C1689" s="135">
        <v>18055.75</v>
      </c>
    </row>
    <row r="1690" spans="2:3" x14ac:dyDescent="0.3">
      <c r="B1690" s="134">
        <v>44573</v>
      </c>
      <c r="C1690" s="135">
        <v>18212.349999999999</v>
      </c>
    </row>
    <row r="1691" spans="2:3" x14ac:dyDescent="0.3">
      <c r="B1691" s="134">
        <v>44574</v>
      </c>
      <c r="C1691" s="135">
        <v>18257.8</v>
      </c>
    </row>
    <row r="1692" spans="2:3" x14ac:dyDescent="0.3">
      <c r="B1692" s="134">
        <v>44575</v>
      </c>
      <c r="C1692" s="135">
        <v>18255.75</v>
      </c>
    </row>
    <row r="1693" spans="2:3" x14ac:dyDescent="0.3">
      <c r="B1693" s="134">
        <v>44578</v>
      </c>
      <c r="C1693" s="135">
        <v>18308.099999999999</v>
      </c>
    </row>
    <row r="1694" spans="2:3" x14ac:dyDescent="0.3">
      <c r="B1694" s="134">
        <v>44579</v>
      </c>
      <c r="C1694" s="135">
        <v>18113.05</v>
      </c>
    </row>
    <row r="1695" spans="2:3" x14ac:dyDescent="0.3">
      <c r="B1695" s="134">
        <v>44580</v>
      </c>
      <c r="C1695" s="135">
        <v>17938.400000000001</v>
      </c>
    </row>
    <row r="1696" spans="2:3" x14ac:dyDescent="0.3">
      <c r="B1696" s="134">
        <v>44581</v>
      </c>
      <c r="C1696" s="135">
        <v>17757</v>
      </c>
    </row>
    <row r="1697" spans="2:3" x14ac:dyDescent="0.3">
      <c r="B1697" s="134">
        <v>44582</v>
      </c>
      <c r="C1697" s="135">
        <v>17617.150000000001</v>
      </c>
    </row>
    <row r="1698" spans="2:3" x14ac:dyDescent="0.3">
      <c r="B1698" s="134">
        <v>44585</v>
      </c>
      <c r="C1698" s="135">
        <v>17149.099999999999</v>
      </c>
    </row>
    <row r="1699" spans="2:3" x14ac:dyDescent="0.3">
      <c r="B1699" s="134">
        <v>44586</v>
      </c>
      <c r="C1699" s="135">
        <v>17277.95</v>
      </c>
    </row>
    <row r="1700" spans="2:3" x14ac:dyDescent="0.3">
      <c r="B1700" s="134">
        <v>44588</v>
      </c>
      <c r="C1700" s="135">
        <v>17110.150000000001</v>
      </c>
    </row>
    <row r="1701" spans="2:3" x14ac:dyDescent="0.3">
      <c r="B1701" s="134">
        <v>44589</v>
      </c>
      <c r="C1701" s="135">
        <v>17101.95</v>
      </c>
    </row>
    <row r="1702" spans="2:3" x14ac:dyDescent="0.3">
      <c r="B1702" s="134">
        <v>44592</v>
      </c>
      <c r="C1702" s="135">
        <v>17339.849999999999</v>
      </c>
    </row>
    <row r="1703" spans="2:3" x14ac:dyDescent="0.3">
      <c r="B1703" s="134">
        <v>44593</v>
      </c>
      <c r="C1703" s="135">
        <v>17576.849999999999</v>
      </c>
    </row>
    <row r="1704" spans="2:3" x14ac:dyDescent="0.3">
      <c r="B1704" s="134">
        <v>44594</v>
      </c>
      <c r="C1704" s="135">
        <v>17780</v>
      </c>
    </row>
    <row r="1705" spans="2:3" x14ac:dyDescent="0.3">
      <c r="B1705" s="134">
        <v>44595</v>
      </c>
      <c r="C1705" s="135">
        <v>17560.2</v>
      </c>
    </row>
    <row r="1706" spans="2:3" x14ac:dyDescent="0.3">
      <c r="B1706" s="134">
        <v>44596</v>
      </c>
      <c r="C1706" s="135">
        <v>17516.3</v>
      </c>
    </row>
    <row r="1707" spans="2:3" x14ac:dyDescent="0.3">
      <c r="B1707" s="134">
        <v>44599</v>
      </c>
      <c r="C1707" s="135">
        <v>17213.599999999999</v>
      </c>
    </row>
    <row r="1708" spans="2:3" x14ac:dyDescent="0.3">
      <c r="B1708" s="134">
        <v>44600</v>
      </c>
      <c r="C1708" s="135">
        <v>17266.75</v>
      </c>
    </row>
    <row r="1709" spans="2:3" x14ac:dyDescent="0.3">
      <c r="B1709" s="134">
        <v>44601</v>
      </c>
      <c r="C1709" s="135">
        <v>17463.8</v>
      </c>
    </row>
    <row r="1710" spans="2:3" x14ac:dyDescent="0.3">
      <c r="B1710" s="134">
        <v>44602</v>
      </c>
      <c r="C1710" s="135">
        <v>17605.849999999999</v>
      </c>
    </row>
    <row r="1711" spans="2:3" x14ac:dyDescent="0.3">
      <c r="B1711" s="134">
        <v>44603</v>
      </c>
      <c r="C1711" s="135">
        <v>17374.75</v>
      </c>
    </row>
    <row r="1712" spans="2:3" x14ac:dyDescent="0.3">
      <c r="B1712" s="134">
        <v>44606</v>
      </c>
      <c r="C1712" s="135">
        <v>16842.8</v>
      </c>
    </row>
    <row r="1713" spans="2:3" x14ac:dyDescent="0.3">
      <c r="B1713" s="134">
        <v>44607</v>
      </c>
      <c r="C1713" s="135">
        <v>17352.45</v>
      </c>
    </row>
    <row r="1714" spans="2:3" x14ac:dyDescent="0.3">
      <c r="B1714" s="134">
        <v>44608</v>
      </c>
      <c r="C1714" s="135">
        <v>17322.2</v>
      </c>
    </row>
    <row r="1715" spans="2:3" x14ac:dyDescent="0.3">
      <c r="B1715" s="134">
        <v>44609</v>
      </c>
      <c r="C1715" s="135">
        <v>17304.599999999999</v>
      </c>
    </row>
    <row r="1716" spans="2:3" x14ac:dyDescent="0.3">
      <c r="B1716" s="134">
        <v>44610</v>
      </c>
      <c r="C1716" s="135">
        <v>17276.3</v>
      </c>
    </row>
    <row r="1717" spans="2:3" x14ac:dyDescent="0.3">
      <c r="B1717" s="134">
        <v>44613</v>
      </c>
      <c r="C1717" s="135">
        <v>17206.650000000001</v>
      </c>
    </row>
    <row r="1718" spans="2:3" x14ac:dyDescent="0.3">
      <c r="B1718" s="134">
        <v>44614</v>
      </c>
      <c r="C1718" s="135">
        <v>17092.2</v>
      </c>
    </row>
    <row r="1719" spans="2:3" x14ac:dyDescent="0.3">
      <c r="B1719" s="134">
        <v>44615</v>
      </c>
      <c r="C1719" s="135">
        <v>17063.25</v>
      </c>
    </row>
    <row r="1720" spans="2:3" x14ac:dyDescent="0.3">
      <c r="B1720" s="134">
        <v>44616</v>
      </c>
      <c r="C1720" s="135">
        <v>16247.95</v>
      </c>
    </row>
    <row r="1721" spans="2:3" x14ac:dyDescent="0.3">
      <c r="B1721" s="134">
        <v>44617</v>
      </c>
      <c r="C1721" s="135">
        <v>16658.400000000001</v>
      </c>
    </row>
    <row r="1722" spans="2:3" x14ac:dyDescent="0.3">
      <c r="B1722" s="134">
        <v>44620</v>
      </c>
      <c r="C1722" s="135">
        <v>16793.900000000001</v>
      </c>
    </row>
    <row r="1723" spans="2:3" x14ac:dyDescent="0.3">
      <c r="B1723" s="134">
        <v>44622</v>
      </c>
      <c r="C1723" s="135">
        <v>16605.95</v>
      </c>
    </row>
    <row r="1724" spans="2:3" x14ac:dyDescent="0.3">
      <c r="B1724" s="134">
        <v>44623</v>
      </c>
      <c r="C1724" s="135">
        <v>16498.05</v>
      </c>
    </row>
    <row r="1725" spans="2:3" x14ac:dyDescent="0.3">
      <c r="B1725" s="134">
        <v>44624</v>
      </c>
      <c r="C1725" s="135">
        <v>16245.35</v>
      </c>
    </row>
    <row r="1726" spans="2:3" x14ac:dyDescent="0.3">
      <c r="B1726" s="134">
        <v>44627</v>
      </c>
      <c r="C1726" s="135">
        <v>15863.15</v>
      </c>
    </row>
    <row r="1727" spans="2:3" x14ac:dyDescent="0.3">
      <c r="B1727" s="134">
        <v>44628</v>
      </c>
      <c r="C1727" s="135">
        <v>16013.45</v>
      </c>
    </row>
    <row r="1728" spans="2:3" x14ac:dyDescent="0.3">
      <c r="B1728" s="134">
        <v>44629</v>
      </c>
      <c r="C1728" s="135">
        <v>16345.35</v>
      </c>
    </row>
    <row r="1729" spans="2:3" x14ac:dyDescent="0.3">
      <c r="B1729" s="134">
        <v>44630</v>
      </c>
      <c r="C1729" s="135">
        <v>16594.900000000001</v>
      </c>
    </row>
    <row r="1730" spans="2:3" x14ac:dyDescent="0.3">
      <c r="B1730" s="134">
        <v>44631</v>
      </c>
      <c r="C1730" s="135">
        <v>16630.45</v>
      </c>
    </row>
    <row r="1731" spans="2:3" x14ac:dyDescent="0.3">
      <c r="B1731" s="134">
        <v>44634</v>
      </c>
      <c r="C1731" s="135">
        <v>16871.3</v>
      </c>
    </row>
    <row r="1732" spans="2:3" x14ac:dyDescent="0.3">
      <c r="B1732" s="134">
        <v>44635</v>
      </c>
      <c r="C1732" s="135">
        <v>16663</v>
      </c>
    </row>
    <row r="1733" spans="2:3" x14ac:dyDescent="0.3">
      <c r="B1733" s="134">
        <v>44636</v>
      </c>
      <c r="C1733" s="135">
        <v>16975.349999999999</v>
      </c>
    </row>
    <row r="1734" spans="2:3" x14ac:dyDescent="0.3">
      <c r="B1734" s="134">
        <v>44637</v>
      </c>
      <c r="C1734" s="135">
        <v>17287.05</v>
      </c>
    </row>
    <row r="1735" spans="2:3" x14ac:dyDescent="0.3">
      <c r="B1735" s="134">
        <v>44641</v>
      </c>
      <c r="C1735" s="135">
        <v>17117.599999999999</v>
      </c>
    </row>
    <row r="1736" spans="2:3" x14ac:dyDescent="0.3">
      <c r="B1736" s="134">
        <v>44642</v>
      </c>
      <c r="C1736" s="135">
        <v>17315.5</v>
      </c>
    </row>
    <row r="1737" spans="2:3" x14ac:dyDescent="0.3">
      <c r="B1737" s="134">
        <v>44643</v>
      </c>
      <c r="C1737" s="135">
        <v>17245.650000000001</v>
      </c>
    </row>
    <row r="1738" spans="2:3" x14ac:dyDescent="0.3">
      <c r="B1738" s="134">
        <v>44644</v>
      </c>
      <c r="C1738" s="135">
        <v>17222.75</v>
      </c>
    </row>
    <row r="1739" spans="2:3" x14ac:dyDescent="0.3">
      <c r="B1739" s="134">
        <v>44645</v>
      </c>
      <c r="C1739" s="135">
        <v>17153</v>
      </c>
    </row>
    <row r="1740" spans="2:3" x14ac:dyDescent="0.3">
      <c r="B1740" s="134">
        <v>44648</v>
      </c>
      <c r="C1740" s="135">
        <v>17222</v>
      </c>
    </row>
    <row r="1741" spans="2:3" x14ac:dyDescent="0.3">
      <c r="B1741" s="134">
        <v>44649</v>
      </c>
      <c r="C1741" s="135">
        <v>17325.3</v>
      </c>
    </row>
    <row r="1742" spans="2:3" x14ac:dyDescent="0.3">
      <c r="B1742" s="134">
        <v>44650</v>
      </c>
      <c r="C1742" s="135">
        <v>17498.25</v>
      </c>
    </row>
    <row r="1743" spans="2:3" x14ac:dyDescent="0.3">
      <c r="B1743" s="134">
        <v>44651</v>
      </c>
      <c r="C1743" s="135">
        <v>17464.75</v>
      </c>
    </row>
    <row r="1744" spans="2:3" x14ac:dyDescent="0.3">
      <c r="B1744" s="134">
        <v>44652</v>
      </c>
      <c r="C1744" s="135">
        <v>17670.45</v>
      </c>
    </row>
    <row r="1745" spans="2:3" x14ac:dyDescent="0.3">
      <c r="B1745" s="134">
        <v>44655</v>
      </c>
      <c r="C1745" s="135">
        <v>18053.400000000001</v>
      </c>
    </row>
    <row r="1746" spans="2:3" x14ac:dyDescent="0.3">
      <c r="B1746" s="134">
        <v>44656</v>
      </c>
      <c r="C1746" s="135">
        <v>17957.400000000001</v>
      </c>
    </row>
    <row r="1747" spans="2:3" x14ac:dyDescent="0.3">
      <c r="B1747" s="134">
        <v>44657</v>
      </c>
      <c r="C1747" s="135">
        <v>17807.650000000001</v>
      </c>
    </row>
    <row r="1748" spans="2:3" x14ac:dyDescent="0.3">
      <c r="B1748" s="134">
        <v>44658</v>
      </c>
      <c r="C1748" s="135">
        <v>17639.55</v>
      </c>
    </row>
    <row r="1749" spans="2:3" x14ac:dyDescent="0.3">
      <c r="B1749" s="134">
        <v>44659</v>
      </c>
      <c r="C1749" s="135">
        <v>17784.349999999999</v>
      </c>
    </row>
    <row r="1750" spans="2:3" x14ac:dyDescent="0.3">
      <c r="B1750" s="134">
        <v>44662</v>
      </c>
      <c r="C1750" s="135">
        <v>17674.95</v>
      </c>
    </row>
    <row r="1751" spans="2:3" x14ac:dyDescent="0.3">
      <c r="B1751" s="134">
        <v>44663</v>
      </c>
      <c r="C1751" s="135">
        <v>17530.3</v>
      </c>
    </row>
    <row r="1752" spans="2:3" x14ac:dyDescent="0.3">
      <c r="B1752" s="134">
        <v>44664</v>
      </c>
      <c r="C1752" s="135">
        <v>17475.650000000001</v>
      </c>
    </row>
    <row r="1753" spans="2:3" x14ac:dyDescent="0.3">
      <c r="B1753" s="134">
        <v>44669</v>
      </c>
      <c r="C1753" s="135">
        <v>17173.650000000001</v>
      </c>
    </row>
    <row r="1754" spans="2:3" x14ac:dyDescent="0.3">
      <c r="B1754" s="134">
        <v>44670</v>
      </c>
      <c r="C1754" s="135">
        <v>16958.650000000001</v>
      </c>
    </row>
    <row r="1755" spans="2:3" x14ac:dyDescent="0.3">
      <c r="B1755" s="134">
        <v>44671</v>
      </c>
      <c r="C1755" s="135">
        <v>17136.55</v>
      </c>
    </row>
    <row r="1756" spans="2:3" x14ac:dyDescent="0.3">
      <c r="B1756" s="134">
        <v>44672</v>
      </c>
      <c r="C1756" s="135">
        <v>17392.599999999999</v>
      </c>
    </row>
    <row r="1757" spans="2:3" x14ac:dyDescent="0.3">
      <c r="B1757" s="134">
        <v>44673</v>
      </c>
      <c r="C1757" s="135">
        <v>17171.95</v>
      </c>
    </row>
    <row r="1758" spans="2:3" x14ac:dyDescent="0.3">
      <c r="B1758" s="134">
        <v>44676</v>
      </c>
      <c r="C1758" s="135">
        <v>16953.95</v>
      </c>
    </row>
    <row r="1759" spans="2:3" x14ac:dyDescent="0.3">
      <c r="B1759" s="134">
        <v>44677</v>
      </c>
      <c r="C1759" s="135">
        <v>17200.8</v>
      </c>
    </row>
    <row r="1760" spans="2:3" x14ac:dyDescent="0.3">
      <c r="B1760" s="134">
        <v>44678</v>
      </c>
      <c r="C1760" s="135">
        <v>17038.400000000001</v>
      </c>
    </row>
    <row r="1761" spans="2:3" x14ac:dyDescent="0.3">
      <c r="B1761" s="134">
        <v>44679</v>
      </c>
      <c r="C1761" s="135">
        <v>17245.05</v>
      </c>
    </row>
    <row r="1762" spans="2:3" x14ac:dyDescent="0.3">
      <c r="B1762" s="134">
        <v>44680</v>
      </c>
      <c r="C1762" s="135">
        <v>17102.55</v>
      </c>
    </row>
    <row r="1763" spans="2:3" x14ac:dyDescent="0.3">
      <c r="B1763" s="134">
        <v>44683</v>
      </c>
      <c r="C1763" s="135">
        <v>17069.099999999999</v>
      </c>
    </row>
    <row r="1764" spans="2:3" x14ac:dyDescent="0.3">
      <c r="B1764" s="134">
        <v>44685</v>
      </c>
      <c r="C1764" s="135">
        <v>16677.599999999999</v>
      </c>
    </row>
    <row r="1765" spans="2:3" x14ac:dyDescent="0.3">
      <c r="B1765" s="134">
        <v>44686</v>
      </c>
      <c r="C1765" s="135">
        <v>16682.650000000001</v>
      </c>
    </row>
    <row r="1766" spans="2:3" x14ac:dyDescent="0.3">
      <c r="B1766" s="134">
        <v>44687</v>
      </c>
      <c r="C1766" s="135">
        <v>16411.25</v>
      </c>
    </row>
    <row r="1767" spans="2:3" x14ac:dyDescent="0.3">
      <c r="B1767" s="134">
        <v>44690</v>
      </c>
      <c r="C1767" s="135">
        <v>16301.85</v>
      </c>
    </row>
    <row r="1768" spans="2:3" x14ac:dyDescent="0.3">
      <c r="B1768" s="134">
        <v>44691</v>
      </c>
      <c r="C1768" s="135">
        <v>16240.05</v>
      </c>
    </row>
    <row r="1769" spans="2:3" x14ac:dyDescent="0.3">
      <c r="B1769" s="134">
        <v>44692</v>
      </c>
      <c r="C1769" s="135">
        <v>16167.1</v>
      </c>
    </row>
    <row r="1770" spans="2:3" x14ac:dyDescent="0.3">
      <c r="B1770" s="134">
        <v>44693</v>
      </c>
      <c r="C1770" s="135">
        <v>15808</v>
      </c>
    </row>
    <row r="1771" spans="2:3" x14ac:dyDescent="0.3">
      <c r="B1771" s="134">
        <v>44694</v>
      </c>
      <c r="C1771" s="135">
        <v>15782.15</v>
      </c>
    </row>
    <row r="1772" spans="2:3" x14ac:dyDescent="0.3">
      <c r="B1772" s="134">
        <v>44697</v>
      </c>
      <c r="C1772" s="135">
        <v>15842.3</v>
      </c>
    </row>
    <row r="1773" spans="2:3" x14ac:dyDescent="0.3">
      <c r="B1773" s="134">
        <v>44698</v>
      </c>
      <c r="C1773" s="135">
        <v>16259.3</v>
      </c>
    </row>
    <row r="1774" spans="2:3" x14ac:dyDescent="0.3">
      <c r="B1774" s="134">
        <v>44699</v>
      </c>
      <c r="C1774" s="135">
        <v>16240.3</v>
      </c>
    </row>
    <row r="1775" spans="2:3" x14ac:dyDescent="0.3">
      <c r="B1775" s="134">
        <v>44700</v>
      </c>
      <c r="C1775" s="135">
        <v>15809.4</v>
      </c>
    </row>
    <row r="1776" spans="2:3" x14ac:dyDescent="0.3">
      <c r="B1776" s="134">
        <v>44701</v>
      </c>
      <c r="C1776" s="135">
        <v>16266.15</v>
      </c>
    </row>
    <row r="1777" spans="2:3" x14ac:dyDescent="0.3">
      <c r="B1777" s="134">
        <v>44704</v>
      </c>
      <c r="C1777" s="135">
        <v>16214.7</v>
      </c>
    </row>
    <row r="1778" spans="2:3" x14ac:dyDescent="0.3">
      <c r="B1778" s="134">
        <v>44705</v>
      </c>
      <c r="C1778" s="135">
        <v>16125.15</v>
      </c>
    </row>
    <row r="1779" spans="2:3" x14ac:dyDescent="0.3">
      <c r="B1779" s="134">
        <v>44706</v>
      </c>
      <c r="C1779" s="135">
        <v>16025.8</v>
      </c>
    </row>
    <row r="1780" spans="2:3" x14ac:dyDescent="0.3">
      <c r="B1780" s="134">
        <v>44707</v>
      </c>
      <c r="C1780" s="135">
        <v>16170.15</v>
      </c>
    </row>
    <row r="1781" spans="2:3" x14ac:dyDescent="0.3">
      <c r="B1781" s="134">
        <v>44708</v>
      </c>
      <c r="C1781" s="135">
        <v>16352.45</v>
      </c>
    </row>
    <row r="1782" spans="2:3" x14ac:dyDescent="0.3">
      <c r="B1782" s="134">
        <v>44711</v>
      </c>
      <c r="C1782" s="135">
        <v>16661.400000000001</v>
      </c>
    </row>
    <row r="1783" spans="2:3" x14ac:dyDescent="0.3">
      <c r="B1783" s="134">
        <v>44712</v>
      </c>
      <c r="C1783" s="135">
        <v>16584.55</v>
      </c>
    </row>
    <row r="1784" spans="2:3" x14ac:dyDescent="0.3">
      <c r="B1784" s="134">
        <v>44713</v>
      </c>
      <c r="C1784" s="135">
        <v>16522.75</v>
      </c>
    </row>
    <row r="1785" spans="2:3" x14ac:dyDescent="0.3">
      <c r="B1785" s="134">
        <v>44714</v>
      </c>
      <c r="C1785" s="135">
        <v>16628</v>
      </c>
    </row>
    <row r="1786" spans="2:3" x14ac:dyDescent="0.3">
      <c r="B1786" s="134">
        <v>44715</v>
      </c>
      <c r="C1786" s="135">
        <v>16584.3</v>
      </c>
    </row>
    <row r="1787" spans="2:3" x14ac:dyDescent="0.3">
      <c r="B1787" s="134">
        <v>44718</v>
      </c>
      <c r="C1787" s="135">
        <v>16569.55</v>
      </c>
    </row>
    <row r="1788" spans="2:3" x14ac:dyDescent="0.3">
      <c r="B1788" s="134">
        <v>44719</v>
      </c>
      <c r="C1788" s="135">
        <v>16416.349999999999</v>
      </c>
    </row>
    <row r="1789" spans="2:3" x14ac:dyDescent="0.3">
      <c r="B1789" s="134">
        <v>44720</v>
      </c>
      <c r="C1789" s="135">
        <v>16356.25</v>
      </c>
    </row>
    <row r="1790" spans="2:3" x14ac:dyDescent="0.3">
      <c r="B1790" s="134">
        <v>44721</v>
      </c>
      <c r="C1790" s="135">
        <v>16478.099999999999</v>
      </c>
    </row>
    <row r="1791" spans="2:3" x14ac:dyDescent="0.3">
      <c r="B1791" s="134">
        <v>44722</v>
      </c>
      <c r="C1791" s="135">
        <v>16201.8</v>
      </c>
    </row>
    <row r="1792" spans="2:3" x14ac:dyDescent="0.3">
      <c r="B1792" s="134">
        <v>44725</v>
      </c>
      <c r="C1792" s="135">
        <v>15774.4</v>
      </c>
    </row>
    <row r="1793" spans="2:3" x14ac:dyDescent="0.3">
      <c r="B1793" s="134">
        <v>44726</v>
      </c>
      <c r="C1793" s="135">
        <v>15732.1</v>
      </c>
    </row>
    <row r="1794" spans="2:3" x14ac:dyDescent="0.3">
      <c r="B1794" s="134">
        <v>44727</v>
      </c>
      <c r="C1794" s="135">
        <v>15692.15</v>
      </c>
    </row>
    <row r="1795" spans="2:3" x14ac:dyDescent="0.3">
      <c r="B1795" s="134">
        <v>44728</v>
      </c>
      <c r="C1795" s="135">
        <v>15360.6</v>
      </c>
    </row>
    <row r="1796" spans="2:3" x14ac:dyDescent="0.3">
      <c r="B1796" s="134">
        <v>44729</v>
      </c>
      <c r="C1796" s="135">
        <v>15293.5</v>
      </c>
    </row>
    <row r="1797" spans="2:3" x14ac:dyDescent="0.3">
      <c r="B1797" s="134">
        <v>44732</v>
      </c>
      <c r="C1797" s="135">
        <v>15350.15</v>
      </c>
    </row>
    <row r="1798" spans="2:3" x14ac:dyDescent="0.3">
      <c r="B1798" s="134">
        <v>44733</v>
      </c>
      <c r="C1798" s="135">
        <v>15638.8</v>
      </c>
    </row>
    <row r="1799" spans="2:3" x14ac:dyDescent="0.3">
      <c r="B1799" s="134">
        <v>44734</v>
      </c>
      <c r="C1799" s="135">
        <v>15413.3</v>
      </c>
    </row>
    <row r="1800" spans="2:3" x14ac:dyDescent="0.3">
      <c r="B1800" s="134">
        <v>44735</v>
      </c>
      <c r="C1800" s="135">
        <v>15556.65</v>
      </c>
    </row>
    <row r="1801" spans="2:3" x14ac:dyDescent="0.3">
      <c r="B1801" s="134">
        <v>44736</v>
      </c>
      <c r="C1801" s="135">
        <v>15699.25</v>
      </c>
    </row>
    <row r="1802" spans="2:3" x14ac:dyDescent="0.3">
      <c r="B1802" s="134">
        <v>44739</v>
      </c>
      <c r="C1802" s="135">
        <v>15832.05</v>
      </c>
    </row>
    <row r="1803" spans="2:3" x14ac:dyDescent="0.3">
      <c r="B1803" s="134">
        <v>44740</v>
      </c>
      <c r="C1803" s="135">
        <v>15850.2</v>
      </c>
    </row>
    <row r="1804" spans="2:3" x14ac:dyDescent="0.3">
      <c r="B1804" s="134">
        <v>44741</v>
      </c>
      <c r="C1804" s="135">
        <v>15799.1</v>
      </c>
    </row>
    <row r="1805" spans="2:3" x14ac:dyDescent="0.3">
      <c r="B1805" s="134">
        <v>44742</v>
      </c>
      <c r="C1805" s="135">
        <v>15780.25</v>
      </c>
    </row>
    <row r="1806" spans="2:3" x14ac:dyDescent="0.3">
      <c r="B1806" s="134">
        <v>44743</v>
      </c>
      <c r="C1806" s="135">
        <v>15752.05</v>
      </c>
    </row>
    <row r="1807" spans="2:3" x14ac:dyDescent="0.3">
      <c r="B1807" s="134">
        <v>44746</v>
      </c>
      <c r="C1807" s="135">
        <v>15835.35</v>
      </c>
    </row>
    <row r="1808" spans="2:3" x14ac:dyDescent="0.3">
      <c r="B1808" s="134">
        <v>44747</v>
      </c>
      <c r="C1808" s="135">
        <v>15810.85</v>
      </c>
    </row>
    <row r="1809" spans="2:3" x14ac:dyDescent="0.3">
      <c r="B1809" s="134">
        <v>44748</v>
      </c>
      <c r="C1809" s="135">
        <v>15989.8</v>
      </c>
    </row>
    <row r="1810" spans="2:3" x14ac:dyDescent="0.3">
      <c r="B1810" s="134">
        <v>44749</v>
      </c>
      <c r="C1810" s="135">
        <v>16132.9</v>
      </c>
    </row>
    <row r="1811" spans="2:3" x14ac:dyDescent="0.3">
      <c r="B1811" s="134">
        <v>44750</v>
      </c>
      <c r="C1811" s="135">
        <v>16220.6</v>
      </c>
    </row>
    <row r="1812" spans="2:3" x14ac:dyDescent="0.3">
      <c r="B1812" s="134">
        <v>44753</v>
      </c>
      <c r="C1812" s="135">
        <v>16216</v>
      </c>
    </row>
    <row r="1813" spans="2:3" x14ac:dyDescent="0.3">
      <c r="B1813" s="134">
        <v>44754</v>
      </c>
      <c r="C1813" s="135">
        <v>16058.3</v>
      </c>
    </row>
    <row r="1814" spans="2:3" x14ac:dyDescent="0.3">
      <c r="B1814" s="134">
        <v>44755</v>
      </c>
      <c r="C1814" s="135">
        <v>15966.65</v>
      </c>
    </row>
    <row r="1815" spans="2:3" x14ac:dyDescent="0.3">
      <c r="B1815" s="134">
        <v>44756</v>
      </c>
      <c r="C1815" s="135">
        <v>15938.65</v>
      </c>
    </row>
    <row r="1816" spans="2:3" x14ac:dyDescent="0.3">
      <c r="B1816" s="134">
        <v>44757</v>
      </c>
      <c r="C1816" s="135">
        <v>16049.2</v>
      </c>
    </row>
    <row r="1817" spans="2:3" x14ac:dyDescent="0.3">
      <c r="B1817" s="134">
        <v>44760</v>
      </c>
      <c r="C1817" s="135">
        <v>16278.5</v>
      </c>
    </row>
    <row r="1818" spans="2:3" x14ac:dyDescent="0.3">
      <c r="B1818" s="134">
        <v>44761</v>
      </c>
      <c r="C1818" s="135">
        <v>16340.55</v>
      </c>
    </row>
    <row r="1819" spans="2:3" x14ac:dyDescent="0.3">
      <c r="B1819" s="134">
        <v>44762</v>
      </c>
      <c r="C1819" s="135">
        <v>16520.849999999999</v>
      </c>
    </row>
    <row r="1820" spans="2:3" x14ac:dyDescent="0.3">
      <c r="B1820" s="134">
        <v>44763</v>
      </c>
      <c r="C1820" s="135">
        <v>16605.25</v>
      </c>
    </row>
    <row r="1821" spans="2:3" x14ac:dyDescent="0.3">
      <c r="B1821" s="134">
        <v>44764</v>
      </c>
      <c r="C1821" s="135">
        <v>16719.45</v>
      </c>
    </row>
    <row r="1822" spans="2:3" x14ac:dyDescent="0.3">
      <c r="B1822" s="134">
        <v>44767</v>
      </c>
      <c r="C1822" s="135">
        <v>16631</v>
      </c>
    </row>
    <row r="1823" spans="2:3" x14ac:dyDescent="0.3">
      <c r="B1823" s="134">
        <v>44768</v>
      </c>
      <c r="C1823" s="135">
        <v>16483.849999999999</v>
      </c>
    </row>
    <row r="1824" spans="2:3" x14ac:dyDescent="0.3">
      <c r="B1824" s="134">
        <v>44769</v>
      </c>
      <c r="C1824" s="135">
        <v>16641.8</v>
      </c>
    </row>
    <row r="1825" spans="2:3" x14ac:dyDescent="0.3">
      <c r="B1825" s="134">
        <v>44770</v>
      </c>
      <c r="C1825" s="135">
        <v>16929.599999999999</v>
      </c>
    </row>
    <row r="1826" spans="2:3" x14ac:dyDescent="0.3">
      <c r="B1826" s="134">
        <v>44771</v>
      </c>
      <c r="C1826" s="135">
        <v>17158.25</v>
      </c>
    </row>
    <row r="1827" spans="2:3" x14ac:dyDescent="0.3">
      <c r="B1827" s="134">
        <v>44774</v>
      </c>
      <c r="C1827" s="135">
        <v>17340.05</v>
      </c>
    </row>
    <row r="1828" spans="2:3" x14ac:dyDescent="0.3">
      <c r="B1828" s="134">
        <v>44775</v>
      </c>
      <c r="C1828" s="135">
        <v>17345.45</v>
      </c>
    </row>
    <row r="1829" spans="2:3" x14ac:dyDescent="0.3">
      <c r="B1829" s="134">
        <v>44776</v>
      </c>
      <c r="C1829" s="135">
        <v>17388.150000000001</v>
      </c>
    </row>
    <row r="1830" spans="2:3" x14ac:dyDescent="0.3">
      <c r="B1830" s="134">
        <v>44777</v>
      </c>
      <c r="C1830" s="135">
        <v>17382</v>
      </c>
    </row>
    <row r="1831" spans="2:3" x14ac:dyDescent="0.3">
      <c r="B1831" s="134">
        <v>44778</v>
      </c>
      <c r="C1831" s="135">
        <v>17397.5</v>
      </c>
    </row>
    <row r="1832" spans="2:3" x14ac:dyDescent="0.3">
      <c r="B1832" s="134">
        <v>44781</v>
      </c>
      <c r="C1832" s="135">
        <v>17525.099999999999</v>
      </c>
    </row>
    <row r="1833" spans="2:3" x14ac:dyDescent="0.3">
      <c r="B1833" s="134">
        <v>44783</v>
      </c>
      <c r="C1833" s="135">
        <v>17534.75</v>
      </c>
    </row>
    <row r="1834" spans="2:3" x14ac:dyDescent="0.3">
      <c r="B1834" s="134">
        <v>44784</v>
      </c>
      <c r="C1834" s="135">
        <v>17659</v>
      </c>
    </row>
    <row r="1835" spans="2:3" x14ac:dyDescent="0.3">
      <c r="B1835" s="134">
        <v>44785</v>
      </c>
      <c r="C1835" s="135">
        <v>17698.150000000001</v>
      </c>
    </row>
    <row r="1836" spans="2:3" x14ac:dyDescent="0.3">
      <c r="B1836" s="134">
        <v>44789</v>
      </c>
      <c r="C1836" s="135">
        <v>17825.25</v>
      </c>
    </row>
    <row r="1837" spans="2:3" x14ac:dyDescent="0.3">
      <c r="B1837" s="134">
        <v>44790</v>
      </c>
      <c r="C1837" s="135">
        <v>17944.25</v>
      </c>
    </row>
    <row r="1838" spans="2:3" x14ac:dyDescent="0.3">
      <c r="B1838" s="134">
        <v>44791</v>
      </c>
      <c r="C1838" s="135">
        <v>17956.5</v>
      </c>
    </row>
    <row r="1839" spans="2:3" x14ac:dyDescent="0.3">
      <c r="B1839" s="134">
        <v>44792</v>
      </c>
      <c r="C1839" s="135">
        <v>17758.45</v>
      </c>
    </row>
    <row r="1840" spans="2:3" x14ac:dyDescent="0.3">
      <c r="B1840" s="134">
        <v>44795</v>
      </c>
      <c r="C1840" s="135">
        <v>17490.7</v>
      </c>
    </row>
    <row r="1841" spans="2:3" x14ac:dyDescent="0.3">
      <c r="B1841" s="134">
        <v>44796</v>
      </c>
      <c r="C1841" s="135">
        <v>17577.5</v>
      </c>
    </row>
    <row r="1842" spans="2:3" x14ac:dyDescent="0.3">
      <c r="B1842" s="134">
        <v>44797</v>
      </c>
      <c r="C1842" s="135">
        <v>17604.95</v>
      </c>
    </row>
    <row r="1843" spans="2:3" x14ac:dyDescent="0.3">
      <c r="B1843" s="134">
        <v>44798</v>
      </c>
      <c r="C1843" s="135">
        <v>17522.45</v>
      </c>
    </row>
    <row r="1844" spans="2:3" x14ac:dyDescent="0.3">
      <c r="B1844" s="134">
        <v>44799</v>
      </c>
      <c r="C1844" s="135">
        <v>17558.900000000001</v>
      </c>
    </row>
    <row r="1845" spans="2:3" x14ac:dyDescent="0.3">
      <c r="B1845" s="134">
        <v>44802</v>
      </c>
      <c r="C1845" s="135">
        <v>17312.900000000001</v>
      </c>
    </row>
    <row r="1846" spans="2:3" x14ac:dyDescent="0.3">
      <c r="B1846" s="134">
        <v>44803</v>
      </c>
      <c r="C1846" s="135">
        <v>17759.3</v>
      </c>
    </row>
    <row r="1847" spans="2:3" x14ac:dyDescent="0.3">
      <c r="B1847" s="134">
        <v>44805</v>
      </c>
      <c r="C1847" s="135">
        <v>17542.8</v>
      </c>
    </row>
    <row r="1848" spans="2:3" x14ac:dyDescent="0.3">
      <c r="B1848" s="134">
        <v>44806</v>
      </c>
      <c r="C1848" s="135">
        <v>17539.45</v>
      </c>
    </row>
    <row r="1849" spans="2:3" x14ac:dyDescent="0.3">
      <c r="B1849" s="134">
        <v>44809</v>
      </c>
      <c r="C1849" s="135">
        <v>17665.8</v>
      </c>
    </row>
    <row r="1850" spans="2:3" x14ac:dyDescent="0.3">
      <c r="B1850" s="134">
        <v>44810</v>
      </c>
      <c r="C1850" s="135">
        <v>17655.599999999999</v>
      </c>
    </row>
    <row r="1851" spans="2:3" x14ac:dyDescent="0.3">
      <c r="B1851" s="134">
        <v>44811</v>
      </c>
      <c r="C1851" s="135">
        <v>17624.400000000001</v>
      </c>
    </row>
    <row r="1852" spans="2:3" x14ac:dyDescent="0.3">
      <c r="B1852" s="134">
        <v>44812</v>
      </c>
      <c r="C1852" s="135">
        <v>17798.75</v>
      </c>
    </row>
    <row r="1853" spans="2:3" x14ac:dyDescent="0.3">
      <c r="B1853" s="134">
        <v>44813</v>
      </c>
      <c r="C1853" s="135">
        <v>17833.349999999999</v>
      </c>
    </row>
    <row r="1854" spans="2:3" x14ac:dyDescent="0.3">
      <c r="B1854" s="134">
        <v>44816</v>
      </c>
      <c r="C1854" s="135">
        <v>17936.349999999999</v>
      </c>
    </row>
    <row r="1855" spans="2:3" x14ac:dyDescent="0.3">
      <c r="B1855" s="134">
        <v>44817</v>
      </c>
      <c r="C1855" s="135">
        <v>18070.05</v>
      </c>
    </row>
    <row r="1856" spans="2:3" x14ac:dyDescent="0.3">
      <c r="B1856" s="134">
        <v>44818</v>
      </c>
      <c r="C1856" s="135">
        <v>18003.75</v>
      </c>
    </row>
    <row r="1857" spans="2:3" x14ac:dyDescent="0.3">
      <c r="B1857" s="134">
        <v>44819</v>
      </c>
      <c r="C1857" s="135">
        <v>17877.400000000001</v>
      </c>
    </row>
    <row r="1858" spans="2:3" x14ac:dyDescent="0.3">
      <c r="B1858" s="134">
        <v>44820</v>
      </c>
      <c r="C1858" s="135">
        <v>17530.849999999999</v>
      </c>
    </row>
    <row r="1859" spans="2:3" x14ac:dyDescent="0.3">
      <c r="B1859" s="134">
        <v>44823</v>
      </c>
      <c r="C1859" s="135">
        <v>17622.25</v>
      </c>
    </row>
    <row r="1860" spans="2:3" x14ac:dyDescent="0.3">
      <c r="B1860" s="134">
        <v>44824</v>
      </c>
      <c r="C1860" s="135">
        <v>17816.25</v>
      </c>
    </row>
    <row r="1861" spans="2:3" x14ac:dyDescent="0.3">
      <c r="B1861" s="134">
        <v>44825</v>
      </c>
      <c r="C1861" s="135">
        <v>17718.349999999999</v>
      </c>
    </row>
    <row r="1862" spans="2:3" x14ac:dyDescent="0.3">
      <c r="B1862" s="134">
        <v>44826</v>
      </c>
      <c r="C1862" s="135">
        <v>17629.8</v>
      </c>
    </row>
    <row r="1863" spans="2:3" x14ac:dyDescent="0.3">
      <c r="B1863" s="134">
        <v>44827</v>
      </c>
      <c r="C1863" s="135">
        <v>17327.349999999999</v>
      </c>
    </row>
    <row r="1864" spans="2:3" x14ac:dyDescent="0.3">
      <c r="B1864" s="134">
        <v>44830</v>
      </c>
      <c r="C1864" s="135">
        <v>17016.3</v>
      </c>
    </row>
    <row r="1865" spans="2:3" x14ac:dyDescent="0.3">
      <c r="B1865" s="134">
        <v>44831</v>
      </c>
      <c r="C1865" s="135">
        <v>17007.400000000001</v>
      </c>
    </row>
    <row r="1866" spans="2:3" x14ac:dyDescent="0.3">
      <c r="B1866" s="134">
        <v>44832</v>
      </c>
      <c r="C1866" s="135">
        <v>16858.599999999999</v>
      </c>
    </row>
    <row r="1867" spans="2:3" x14ac:dyDescent="0.3">
      <c r="B1867" s="134">
        <v>44833</v>
      </c>
      <c r="C1867" s="135">
        <v>16818.099999999999</v>
      </c>
    </row>
    <row r="1868" spans="2:3" x14ac:dyDescent="0.3">
      <c r="B1868" s="134">
        <v>44834</v>
      </c>
      <c r="C1868" s="135">
        <v>17094.349999999999</v>
      </c>
    </row>
    <row r="1869" spans="2:3" x14ac:dyDescent="0.3">
      <c r="B1869" s="134">
        <v>44837</v>
      </c>
      <c r="C1869" s="135">
        <v>16887.349999999999</v>
      </c>
    </row>
    <row r="1870" spans="2:3" x14ac:dyDescent="0.3">
      <c r="B1870" s="134">
        <v>44838</v>
      </c>
      <c r="C1870" s="135">
        <v>17274.3</v>
      </c>
    </row>
    <row r="1871" spans="2:3" x14ac:dyDescent="0.3">
      <c r="B1871" s="134">
        <v>44840</v>
      </c>
      <c r="C1871" s="135">
        <v>17331.8</v>
      </c>
    </row>
    <row r="1872" spans="2:3" x14ac:dyDescent="0.3">
      <c r="B1872" s="134">
        <v>44841</v>
      </c>
      <c r="C1872" s="135">
        <v>17314.650000000001</v>
      </c>
    </row>
    <row r="1873" spans="2:3" x14ac:dyDescent="0.3">
      <c r="B1873" s="134">
        <v>44844</v>
      </c>
      <c r="C1873" s="135">
        <v>17241</v>
      </c>
    </row>
    <row r="1874" spans="2:3" x14ac:dyDescent="0.3">
      <c r="B1874" s="134">
        <v>44845</v>
      </c>
      <c r="C1874" s="135">
        <v>16983.55</v>
      </c>
    </row>
    <row r="1875" spans="2:3" x14ac:dyDescent="0.3">
      <c r="B1875" s="134">
        <v>44846</v>
      </c>
      <c r="C1875" s="135">
        <v>17123.599999999999</v>
      </c>
    </row>
    <row r="1876" spans="2:3" x14ac:dyDescent="0.3">
      <c r="B1876" s="134">
        <v>44847</v>
      </c>
      <c r="C1876" s="135">
        <v>17014.349999999999</v>
      </c>
    </row>
    <row r="1877" spans="2:3" x14ac:dyDescent="0.3">
      <c r="B1877" s="134">
        <v>44848</v>
      </c>
      <c r="C1877" s="135">
        <v>17185.7</v>
      </c>
    </row>
    <row r="1878" spans="2:3" x14ac:dyDescent="0.3">
      <c r="B1878" s="134">
        <v>44851</v>
      </c>
      <c r="C1878" s="135">
        <v>17311.8</v>
      </c>
    </row>
    <row r="1879" spans="2:3" x14ac:dyDescent="0.3">
      <c r="B1879" s="134">
        <v>44852</v>
      </c>
      <c r="C1879" s="135">
        <v>17486.95</v>
      </c>
    </row>
    <row r="1880" spans="2:3" x14ac:dyDescent="0.3">
      <c r="B1880" s="134">
        <v>44853</v>
      </c>
      <c r="C1880" s="135">
        <v>17512.25</v>
      </c>
    </row>
    <row r="1881" spans="2:3" x14ac:dyDescent="0.3">
      <c r="B1881" s="134">
        <v>44854</v>
      </c>
      <c r="C1881" s="135">
        <v>17563.95</v>
      </c>
    </row>
    <row r="1882" spans="2:3" x14ac:dyDescent="0.3">
      <c r="B1882" s="134">
        <v>44855</v>
      </c>
      <c r="C1882" s="135">
        <v>17576.3</v>
      </c>
    </row>
    <row r="1883" spans="2:3" x14ac:dyDescent="0.3">
      <c r="B1883" s="134">
        <v>44858</v>
      </c>
      <c r="C1883" s="135">
        <v>17730.75</v>
      </c>
    </row>
    <row r="1884" spans="2:3" x14ac:dyDescent="0.3">
      <c r="B1884" s="134">
        <v>44859</v>
      </c>
      <c r="C1884" s="135">
        <v>17656.349999999999</v>
      </c>
    </row>
    <row r="1885" spans="2:3" x14ac:dyDescent="0.3">
      <c r="B1885" s="134">
        <v>44861</v>
      </c>
      <c r="C1885" s="135">
        <v>17736.95</v>
      </c>
    </row>
    <row r="1886" spans="2:3" x14ac:dyDescent="0.3">
      <c r="B1886" s="134">
        <v>44862</v>
      </c>
      <c r="C1886" s="135">
        <v>17786.8</v>
      </c>
    </row>
    <row r="1887" spans="2:3" x14ac:dyDescent="0.3">
      <c r="B1887" s="134">
        <v>44865</v>
      </c>
      <c r="C1887" s="135">
        <v>18012.2</v>
      </c>
    </row>
    <row r="1888" spans="2:3" x14ac:dyDescent="0.3">
      <c r="B1888" s="134">
        <v>44866</v>
      </c>
      <c r="C1888" s="135">
        <v>18145.400000000001</v>
      </c>
    </row>
    <row r="1889" spans="2:3" x14ac:dyDescent="0.3">
      <c r="B1889" s="134">
        <v>44867</v>
      </c>
      <c r="C1889" s="135">
        <v>18082.849999999999</v>
      </c>
    </row>
    <row r="1890" spans="2:3" x14ac:dyDescent="0.3">
      <c r="B1890" s="134">
        <v>44868</v>
      </c>
      <c r="C1890" s="135">
        <v>18052.7</v>
      </c>
    </row>
    <row r="1891" spans="2:3" x14ac:dyDescent="0.3">
      <c r="B1891" s="134">
        <v>44869</v>
      </c>
      <c r="C1891" s="135">
        <v>18117.150000000001</v>
      </c>
    </row>
    <row r="1892" spans="2:3" x14ac:dyDescent="0.3">
      <c r="B1892" s="134">
        <v>44872</v>
      </c>
      <c r="C1892" s="135">
        <v>18202.8</v>
      </c>
    </row>
    <row r="1893" spans="2:3" x14ac:dyDescent="0.3">
      <c r="B1893" s="134">
        <v>44874</v>
      </c>
      <c r="C1893" s="135">
        <v>18157</v>
      </c>
    </row>
    <row r="1894" spans="2:3" x14ac:dyDescent="0.3">
      <c r="B1894" s="134">
        <v>44875</v>
      </c>
      <c r="C1894" s="135">
        <v>18028.2</v>
      </c>
    </row>
    <row r="1895" spans="2:3" x14ac:dyDescent="0.3">
      <c r="B1895" s="134">
        <v>44876</v>
      </c>
      <c r="C1895" s="135">
        <v>18349.7</v>
      </c>
    </row>
    <row r="1896" spans="2:3" x14ac:dyDescent="0.3">
      <c r="B1896" s="134">
        <v>44879</v>
      </c>
      <c r="C1896" s="135">
        <v>18329.150000000001</v>
      </c>
    </row>
    <row r="1897" spans="2:3" x14ac:dyDescent="0.3">
      <c r="B1897" s="134">
        <v>44880</v>
      </c>
      <c r="C1897" s="135">
        <v>18403.400000000001</v>
      </c>
    </row>
    <row r="1898" spans="2:3" x14ac:dyDescent="0.3">
      <c r="B1898" s="134">
        <v>44881</v>
      </c>
      <c r="C1898" s="135">
        <v>18409.650000000001</v>
      </c>
    </row>
    <row r="1899" spans="2:3" x14ac:dyDescent="0.3">
      <c r="B1899" s="134">
        <v>44882</v>
      </c>
      <c r="C1899" s="135">
        <v>18343.900000000001</v>
      </c>
    </row>
    <row r="1900" spans="2:3" x14ac:dyDescent="0.3">
      <c r="B1900" s="134">
        <v>44883</v>
      </c>
      <c r="C1900" s="135">
        <v>18307.650000000001</v>
      </c>
    </row>
    <row r="1901" spans="2:3" x14ac:dyDescent="0.3">
      <c r="B1901" s="134">
        <v>44886</v>
      </c>
      <c r="C1901" s="135">
        <v>18159.95</v>
      </c>
    </row>
    <row r="1902" spans="2:3" x14ac:dyDescent="0.3">
      <c r="B1902" s="134">
        <v>44887</v>
      </c>
      <c r="C1902" s="135">
        <v>18244.2</v>
      </c>
    </row>
    <row r="1903" spans="2:3" x14ac:dyDescent="0.3">
      <c r="B1903" s="134">
        <v>44888</v>
      </c>
      <c r="C1903" s="135">
        <v>18267.25</v>
      </c>
    </row>
    <row r="1904" spans="2:3" x14ac:dyDescent="0.3">
      <c r="B1904" s="134">
        <v>44889</v>
      </c>
      <c r="C1904" s="135">
        <v>18484.099999999999</v>
      </c>
    </row>
    <row r="1905" spans="2:3" x14ac:dyDescent="0.3">
      <c r="B1905" s="134">
        <v>44890</v>
      </c>
      <c r="C1905" s="135">
        <v>18512.75</v>
      </c>
    </row>
    <row r="1906" spans="2:3" x14ac:dyDescent="0.3">
      <c r="B1906" s="134">
        <v>44893</v>
      </c>
      <c r="C1906" s="135">
        <v>18562.75</v>
      </c>
    </row>
    <row r="1907" spans="2:3" x14ac:dyDescent="0.3">
      <c r="B1907" s="134">
        <v>44894</v>
      </c>
      <c r="C1907" s="135">
        <v>18618.05</v>
      </c>
    </row>
    <row r="1908" spans="2:3" x14ac:dyDescent="0.3">
      <c r="B1908" s="134">
        <v>44895</v>
      </c>
      <c r="C1908" s="135">
        <v>18758.349999999999</v>
      </c>
    </row>
    <row r="1909" spans="2:3" x14ac:dyDescent="0.3">
      <c r="B1909" s="134">
        <v>44896</v>
      </c>
      <c r="C1909" s="135">
        <v>18812.5</v>
      </c>
    </row>
    <row r="1910" spans="2:3" x14ac:dyDescent="0.3">
      <c r="B1910" s="134">
        <v>44897</v>
      </c>
      <c r="C1910" s="135">
        <v>18696.099999999999</v>
      </c>
    </row>
    <row r="1911" spans="2:3" x14ac:dyDescent="0.3">
      <c r="B1911" s="134">
        <v>44900</v>
      </c>
      <c r="C1911" s="135">
        <v>18701.05</v>
      </c>
    </row>
    <row r="1912" spans="2:3" x14ac:dyDescent="0.3">
      <c r="B1912" s="134">
        <v>44901</v>
      </c>
      <c r="C1912" s="135">
        <v>18642.75</v>
      </c>
    </row>
    <row r="1913" spans="2:3" x14ac:dyDescent="0.3">
      <c r="B1913" s="134">
        <v>44902</v>
      </c>
      <c r="C1913" s="135">
        <v>18560.5</v>
      </c>
    </row>
    <row r="1914" spans="2:3" x14ac:dyDescent="0.3">
      <c r="B1914" s="134">
        <v>44903</v>
      </c>
      <c r="C1914" s="135">
        <v>18609.349999999999</v>
      </c>
    </row>
    <row r="1915" spans="2:3" x14ac:dyDescent="0.3">
      <c r="B1915" s="134">
        <v>44904</v>
      </c>
      <c r="C1915" s="135">
        <v>18496.599999999999</v>
      </c>
    </row>
    <row r="1916" spans="2:3" x14ac:dyDescent="0.3">
      <c r="B1916" s="134">
        <v>44907</v>
      </c>
      <c r="C1916" s="135">
        <v>18497.150000000001</v>
      </c>
    </row>
    <row r="1917" spans="2:3" x14ac:dyDescent="0.3">
      <c r="B1917" s="134">
        <v>44908</v>
      </c>
      <c r="C1917" s="135">
        <v>18608</v>
      </c>
    </row>
    <row r="1918" spans="2:3" x14ac:dyDescent="0.3">
      <c r="B1918" s="134">
        <v>44909</v>
      </c>
      <c r="C1918" s="135">
        <v>18660.3</v>
      </c>
    </row>
    <row r="1919" spans="2:3" x14ac:dyDescent="0.3">
      <c r="B1919" s="134">
        <v>44910</v>
      </c>
      <c r="C1919" s="135">
        <v>18414.900000000001</v>
      </c>
    </row>
    <row r="1920" spans="2:3" x14ac:dyDescent="0.3">
      <c r="B1920" s="134">
        <v>44911</v>
      </c>
      <c r="C1920" s="135">
        <v>18269</v>
      </c>
    </row>
    <row r="1921" spans="2:3" x14ac:dyDescent="0.3">
      <c r="B1921" s="134">
        <v>44914</v>
      </c>
      <c r="C1921" s="135">
        <v>18420.45</v>
      </c>
    </row>
    <row r="1922" spans="2:3" x14ac:dyDescent="0.3">
      <c r="B1922" s="134">
        <v>44915</v>
      </c>
      <c r="C1922" s="135">
        <v>18385.3</v>
      </c>
    </row>
    <row r="1923" spans="2:3" x14ac:dyDescent="0.3">
      <c r="B1923" s="134">
        <v>44916</v>
      </c>
      <c r="C1923" s="135">
        <v>18199.099999999999</v>
      </c>
    </row>
    <row r="1924" spans="2:3" x14ac:dyDescent="0.3">
      <c r="B1924" s="134">
        <v>44917</v>
      </c>
      <c r="C1924" s="135">
        <v>18127.349999999999</v>
      </c>
    </row>
    <row r="1925" spans="2:3" x14ac:dyDescent="0.3">
      <c r="B1925" s="134">
        <v>44918</v>
      </c>
      <c r="C1925" s="135">
        <v>17806.8</v>
      </c>
    </row>
    <row r="1926" spans="2:3" x14ac:dyDescent="0.3">
      <c r="B1926" s="134">
        <v>44921</v>
      </c>
      <c r="C1926" s="135">
        <v>18014.599999999999</v>
      </c>
    </row>
    <row r="1927" spans="2:3" x14ac:dyDescent="0.3">
      <c r="B1927" s="134">
        <v>44922</v>
      </c>
      <c r="C1927" s="135">
        <v>18132.3</v>
      </c>
    </row>
    <row r="1928" spans="2:3" x14ac:dyDescent="0.3">
      <c r="B1928" s="134">
        <v>44923</v>
      </c>
      <c r="C1928" s="135">
        <v>18122.5</v>
      </c>
    </row>
    <row r="1929" spans="2:3" x14ac:dyDescent="0.3">
      <c r="B1929" s="134">
        <v>44924</v>
      </c>
      <c r="C1929" s="135">
        <v>18191</v>
      </c>
    </row>
    <row r="1930" spans="2:3" x14ac:dyDescent="0.3">
      <c r="B1930" s="134">
        <v>44925</v>
      </c>
      <c r="C1930" s="135">
        <v>18105.3</v>
      </c>
    </row>
    <row r="1931" spans="2:3" x14ac:dyDescent="0.3">
      <c r="B1931" s="134">
        <v>44928</v>
      </c>
      <c r="C1931" s="135">
        <v>18197.45</v>
      </c>
    </row>
    <row r="1932" spans="2:3" x14ac:dyDescent="0.3">
      <c r="B1932" s="134">
        <v>44929</v>
      </c>
      <c r="C1932" s="135">
        <v>18232.55</v>
      </c>
    </row>
    <row r="1933" spans="2:3" x14ac:dyDescent="0.3">
      <c r="B1933" s="134">
        <v>44930</v>
      </c>
      <c r="C1933" s="135">
        <v>18042.95</v>
      </c>
    </row>
    <row r="1934" spans="2:3" x14ac:dyDescent="0.3">
      <c r="B1934" s="134">
        <v>44931</v>
      </c>
      <c r="C1934" s="135">
        <v>17992.150000000001</v>
      </c>
    </row>
    <row r="1935" spans="2:3" x14ac:dyDescent="0.3">
      <c r="B1935" s="134">
        <v>44932</v>
      </c>
      <c r="C1935" s="135">
        <v>17859.45</v>
      </c>
    </row>
    <row r="1936" spans="2:3" x14ac:dyDescent="0.3">
      <c r="B1936" s="134">
        <v>44935</v>
      </c>
      <c r="C1936" s="135">
        <v>18101.2</v>
      </c>
    </row>
    <row r="1937" spans="2:3" x14ac:dyDescent="0.3">
      <c r="B1937" s="134">
        <v>44936</v>
      </c>
      <c r="C1937" s="135">
        <v>17914.150000000001</v>
      </c>
    </row>
    <row r="1938" spans="2:3" x14ac:dyDescent="0.3">
      <c r="B1938" s="134">
        <v>44937</v>
      </c>
      <c r="C1938" s="135">
        <v>17895.7</v>
      </c>
    </row>
    <row r="1939" spans="2:3" x14ac:dyDescent="0.3">
      <c r="B1939" s="134">
        <v>44938</v>
      </c>
      <c r="C1939" s="135">
        <v>17858.2</v>
      </c>
    </row>
    <row r="1940" spans="2:3" x14ac:dyDescent="0.3">
      <c r="B1940" s="134">
        <v>44939</v>
      </c>
      <c r="C1940" s="135">
        <v>17956.599999999999</v>
      </c>
    </row>
    <row r="1941" spans="2:3" x14ac:dyDescent="0.3">
      <c r="B1941" s="134">
        <v>44942</v>
      </c>
      <c r="C1941" s="135">
        <v>17894.849999999999</v>
      </c>
    </row>
    <row r="1942" spans="2:3" x14ac:dyDescent="0.3">
      <c r="B1942" s="134">
        <v>44943</v>
      </c>
      <c r="C1942" s="135">
        <v>18053.3</v>
      </c>
    </row>
    <row r="1943" spans="2:3" x14ac:dyDescent="0.3">
      <c r="B1943" s="134">
        <v>44944</v>
      </c>
      <c r="C1943" s="135">
        <v>18165.349999999999</v>
      </c>
    </row>
    <row r="1944" spans="2:3" x14ac:dyDescent="0.3">
      <c r="B1944" s="134">
        <v>44945</v>
      </c>
      <c r="C1944" s="135">
        <v>18107.849999999999</v>
      </c>
    </row>
    <row r="1945" spans="2:3" x14ac:dyDescent="0.3">
      <c r="B1945" s="134">
        <v>44946</v>
      </c>
      <c r="C1945" s="135">
        <v>18027.650000000001</v>
      </c>
    </row>
    <row r="1946" spans="2:3" x14ac:dyDescent="0.3">
      <c r="B1946" s="134">
        <v>44949</v>
      </c>
      <c r="C1946" s="135">
        <v>18118.55</v>
      </c>
    </row>
    <row r="1947" spans="2:3" x14ac:dyDescent="0.3">
      <c r="B1947" s="134">
        <v>44950</v>
      </c>
      <c r="C1947" s="135">
        <v>18118.3</v>
      </c>
    </row>
    <row r="1948" spans="2:3" x14ac:dyDescent="0.3">
      <c r="B1948" s="134">
        <v>44951</v>
      </c>
      <c r="C1948" s="135">
        <v>17891.95</v>
      </c>
    </row>
    <row r="1949" spans="2:3" x14ac:dyDescent="0.3">
      <c r="B1949" s="134">
        <v>44953</v>
      </c>
      <c r="C1949" s="135">
        <v>17604.349999999999</v>
      </c>
    </row>
    <row r="1950" spans="2:3" x14ac:dyDescent="0.3">
      <c r="B1950" s="134">
        <v>44956</v>
      </c>
      <c r="C1950" s="135">
        <v>17648.95</v>
      </c>
    </row>
    <row r="1951" spans="2:3" x14ac:dyDescent="0.3">
      <c r="B1951" s="134">
        <v>44957</v>
      </c>
      <c r="C1951" s="135">
        <v>17662.150000000001</v>
      </c>
    </row>
    <row r="1952" spans="2:3" x14ac:dyDescent="0.3">
      <c r="B1952" s="134">
        <v>44958</v>
      </c>
      <c r="C1952" s="135">
        <v>17616.3</v>
      </c>
    </row>
    <row r="1953" spans="2:3" x14ac:dyDescent="0.3">
      <c r="B1953" s="134">
        <v>44959</v>
      </c>
      <c r="C1953" s="135">
        <v>17610.400000000001</v>
      </c>
    </row>
    <row r="1954" spans="2:3" x14ac:dyDescent="0.3">
      <c r="B1954" s="134">
        <v>44960</v>
      </c>
      <c r="C1954" s="135">
        <v>17854.05</v>
      </c>
    </row>
    <row r="1955" spans="2:3" x14ac:dyDescent="0.3">
      <c r="B1955" s="134">
        <v>44963</v>
      </c>
      <c r="C1955" s="135">
        <v>17764.599999999999</v>
      </c>
    </row>
    <row r="1956" spans="2:3" x14ac:dyDescent="0.3">
      <c r="B1956" s="134">
        <v>44964</v>
      </c>
      <c r="C1956" s="135">
        <v>17721.5</v>
      </c>
    </row>
    <row r="1957" spans="2:3" x14ac:dyDescent="0.3">
      <c r="B1957" s="134">
        <v>44965</v>
      </c>
      <c r="C1957" s="135">
        <v>17871.7</v>
      </c>
    </row>
    <row r="1958" spans="2:3" x14ac:dyDescent="0.3">
      <c r="B1958" s="134">
        <v>44966</v>
      </c>
      <c r="C1958" s="135">
        <v>17893.45</v>
      </c>
    </row>
    <row r="1959" spans="2:3" x14ac:dyDescent="0.3">
      <c r="B1959" s="134">
        <v>44967</v>
      </c>
      <c r="C1959" s="135">
        <v>17856.5</v>
      </c>
    </row>
    <row r="1960" spans="2:3" x14ac:dyDescent="0.3">
      <c r="B1960" s="134">
        <v>44970</v>
      </c>
      <c r="C1960" s="135">
        <v>17770.900000000001</v>
      </c>
    </row>
    <row r="1961" spans="2:3" x14ac:dyDescent="0.3">
      <c r="B1961" s="134">
        <v>44971</v>
      </c>
      <c r="C1961" s="135">
        <v>17929.849999999999</v>
      </c>
    </row>
    <row r="1962" spans="2:3" x14ac:dyDescent="0.3">
      <c r="B1962" s="134">
        <v>44972</v>
      </c>
      <c r="C1962" s="135">
        <v>18015.849999999999</v>
      </c>
    </row>
    <row r="1963" spans="2:3" x14ac:dyDescent="0.3">
      <c r="B1963" s="134">
        <v>44973</v>
      </c>
      <c r="C1963" s="135">
        <v>18035.849999999999</v>
      </c>
    </row>
    <row r="1964" spans="2:3" x14ac:dyDescent="0.3">
      <c r="B1964" s="134">
        <v>44974</v>
      </c>
      <c r="C1964" s="135">
        <v>17944.2</v>
      </c>
    </row>
    <row r="1965" spans="2:3" x14ac:dyDescent="0.3">
      <c r="B1965" s="134">
        <v>44977</v>
      </c>
      <c r="C1965" s="135">
        <v>17844.599999999999</v>
      </c>
    </row>
    <row r="1966" spans="2:3" x14ac:dyDescent="0.3">
      <c r="B1966" s="134">
        <v>44978</v>
      </c>
      <c r="C1966" s="135">
        <v>17826.7</v>
      </c>
    </row>
    <row r="1967" spans="2:3" x14ac:dyDescent="0.3">
      <c r="B1967" s="134">
        <v>44979</v>
      </c>
      <c r="C1967" s="135">
        <v>17554.3</v>
      </c>
    </row>
    <row r="1968" spans="2:3" x14ac:dyDescent="0.3">
      <c r="B1968" s="134">
        <v>44980</v>
      </c>
      <c r="C1968" s="135">
        <v>17511.25</v>
      </c>
    </row>
    <row r="1969" spans="2:3" x14ac:dyDescent="0.3">
      <c r="B1969" s="134">
        <v>44981</v>
      </c>
      <c r="C1969" s="135">
        <v>17465.8</v>
      </c>
    </row>
    <row r="1970" spans="2:3" x14ac:dyDescent="0.3">
      <c r="B1970" s="134">
        <v>44984</v>
      </c>
      <c r="C1970" s="135">
        <v>17392.7</v>
      </c>
    </row>
    <row r="1971" spans="2:3" x14ac:dyDescent="0.3">
      <c r="B1971" s="134">
        <v>44985</v>
      </c>
      <c r="C1971" s="135">
        <v>17303.95</v>
      </c>
    </row>
    <row r="1972" spans="2:3" x14ac:dyDescent="0.3">
      <c r="B1972" s="134">
        <v>44986</v>
      </c>
      <c r="C1972" s="135">
        <v>17450.900000000001</v>
      </c>
    </row>
    <row r="1973" spans="2:3" x14ac:dyDescent="0.3">
      <c r="B1973" s="134">
        <v>44987</v>
      </c>
      <c r="C1973" s="135">
        <v>17321.900000000001</v>
      </c>
    </row>
    <row r="1974" spans="2:3" x14ac:dyDescent="0.3">
      <c r="B1974" s="134">
        <v>44988</v>
      </c>
      <c r="C1974" s="135">
        <v>17594.349999999999</v>
      </c>
    </row>
    <row r="1975" spans="2:3" x14ac:dyDescent="0.3">
      <c r="B1975" s="134">
        <v>44991</v>
      </c>
      <c r="C1975" s="135">
        <v>17711.45</v>
      </c>
    </row>
    <row r="1976" spans="2:3" x14ac:dyDescent="0.3">
      <c r="B1976" s="134">
        <v>44993</v>
      </c>
      <c r="C1976" s="135">
        <v>17754.400000000001</v>
      </c>
    </row>
    <row r="1977" spans="2:3" x14ac:dyDescent="0.3">
      <c r="B1977" s="134">
        <v>44994</v>
      </c>
      <c r="C1977" s="135">
        <v>17589.599999999999</v>
      </c>
    </row>
    <row r="1978" spans="2:3" x14ac:dyDescent="0.3">
      <c r="B1978" s="134">
        <v>44995</v>
      </c>
      <c r="C1978" s="135">
        <v>17412.900000000001</v>
      </c>
    </row>
    <row r="1979" spans="2:3" x14ac:dyDescent="0.3">
      <c r="B1979" s="134">
        <v>44998</v>
      </c>
      <c r="C1979" s="135">
        <v>17154.3</v>
      </c>
    </row>
    <row r="1980" spans="2:3" x14ac:dyDescent="0.3">
      <c r="B1980" s="134">
        <v>44999</v>
      </c>
      <c r="C1980" s="135">
        <v>17043.3</v>
      </c>
    </row>
    <row r="1981" spans="2:3" x14ac:dyDescent="0.3">
      <c r="B1981" s="134">
        <v>45000</v>
      </c>
      <c r="C1981" s="135">
        <v>16972.150000000001</v>
      </c>
    </row>
    <row r="1982" spans="2:3" x14ac:dyDescent="0.3">
      <c r="B1982" s="134">
        <v>45001</v>
      </c>
      <c r="C1982" s="135">
        <v>16985.599999999999</v>
      </c>
    </row>
    <row r="1983" spans="2:3" x14ac:dyDescent="0.3">
      <c r="B1983" s="134">
        <v>45002</v>
      </c>
      <c r="C1983" s="135">
        <v>17100.05</v>
      </c>
    </row>
    <row r="1984" spans="2:3" x14ac:dyDescent="0.3">
      <c r="B1984" s="134">
        <v>45005</v>
      </c>
      <c r="C1984" s="135">
        <v>16988.400000000001</v>
      </c>
    </row>
    <row r="1985" spans="2:3" x14ac:dyDescent="0.3">
      <c r="B1985" s="134">
        <v>45006</v>
      </c>
      <c r="C1985" s="135">
        <v>17107.5</v>
      </c>
    </row>
    <row r="1986" spans="2:3" x14ac:dyDescent="0.3">
      <c r="B1986" s="134">
        <v>45007</v>
      </c>
      <c r="C1986" s="135">
        <v>17151.900000000001</v>
      </c>
    </row>
    <row r="1987" spans="2:3" x14ac:dyDescent="0.3">
      <c r="B1987" s="134">
        <v>45008</v>
      </c>
      <c r="C1987" s="135">
        <v>17076.900000000001</v>
      </c>
    </row>
    <row r="1988" spans="2:3" x14ac:dyDescent="0.3">
      <c r="B1988" s="134">
        <v>45009</v>
      </c>
      <c r="C1988" s="135">
        <v>16945.05</v>
      </c>
    </row>
    <row r="1989" spans="2:3" x14ac:dyDescent="0.3">
      <c r="B1989" s="134">
        <v>45012</v>
      </c>
      <c r="C1989" s="135">
        <v>16985.7</v>
      </c>
    </row>
    <row r="1990" spans="2:3" x14ac:dyDescent="0.3">
      <c r="B1990" s="134">
        <v>45013</v>
      </c>
      <c r="C1990" s="135">
        <v>16951.7</v>
      </c>
    </row>
    <row r="1991" spans="2:3" x14ac:dyDescent="0.3">
      <c r="B1991" s="134">
        <v>45014</v>
      </c>
      <c r="C1991" s="135">
        <v>17080.7</v>
      </c>
    </row>
    <row r="1992" spans="2:3" x14ac:dyDescent="0.3">
      <c r="B1992" s="134">
        <v>45016</v>
      </c>
      <c r="C1992" s="135">
        <v>17359.75</v>
      </c>
    </row>
    <row r="1993" spans="2:3" x14ac:dyDescent="0.3">
      <c r="B1993" s="134">
        <v>45019</v>
      </c>
      <c r="C1993" s="135">
        <v>17398.05</v>
      </c>
    </row>
    <row r="1994" spans="2:3" x14ac:dyDescent="0.3">
      <c r="B1994" s="134">
        <v>45021</v>
      </c>
      <c r="C1994" s="135">
        <v>17557.05</v>
      </c>
    </row>
    <row r="1995" spans="2:3" x14ac:dyDescent="0.3">
      <c r="B1995" s="134">
        <v>45022</v>
      </c>
      <c r="C1995" s="135">
        <v>17599.150000000001</v>
      </c>
    </row>
    <row r="1996" spans="2:3" x14ac:dyDescent="0.3">
      <c r="B1996" s="134">
        <v>45026</v>
      </c>
      <c r="C1996" s="135">
        <v>17624.05</v>
      </c>
    </row>
    <row r="1997" spans="2:3" x14ac:dyDescent="0.3">
      <c r="B1997" s="134">
        <v>45027</v>
      </c>
      <c r="C1997" s="135">
        <v>17722.3</v>
      </c>
    </row>
    <row r="1998" spans="2:3" x14ac:dyDescent="0.3">
      <c r="B1998" s="134">
        <v>45028</v>
      </c>
      <c r="C1998" s="135">
        <v>17812.400000000001</v>
      </c>
    </row>
    <row r="1999" spans="2:3" x14ac:dyDescent="0.3">
      <c r="B1999" s="134">
        <v>45029</v>
      </c>
      <c r="C1999" s="135">
        <v>17828</v>
      </c>
    </row>
    <row r="2000" spans="2:3" x14ac:dyDescent="0.3">
      <c r="B2000" s="134">
        <v>45033</v>
      </c>
      <c r="C2000" s="135">
        <v>17706.849999999999</v>
      </c>
    </row>
    <row r="2001" spans="2:3" x14ac:dyDescent="0.3">
      <c r="B2001" s="134">
        <v>45034</v>
      </c>
      <c r="C2001" s="135">
        <v>17660.150000000001</v>
      </c>
    </row>
    <row r="2002" spans="2:3" x14ac:dyDescent="0.3">
      <c r="B2002" s="134">
        <v>45035</v>
      </c>
      <c r="C2002" s="135">
        <v>17618.75</v>
      </c>
    </row>
    <row r="2003" spans="2:3" x14ac:dyDescent="0.3">
      <c r="B2003" s="134">
        <v>45036</v>
      </c>
      <c r="C2003" s="135">
        <v>17624.45</v>
      </c>
    </row>
    <row r="2004" spans="2:3" x14ac:dyDescent="0.3">
      <c r="B2004" s="134">
        <v>45037</v>
      </c>
      <c r="C2004" s="135">
        <v>17624.05</v>
      </c>
    </row>
    <row r="2005" spans="2:3" x14ac:dyDescent="0.3">
      <c r="B2005" s="134">
        <v>45040</v>
      </c>
      <c r="C2005" s="135">
        <v>17743.400000000001</v>
      </c>
    </row>
    <row r="2006" spans="2:3" x14ac:dyDescent="0.3">
      <c r="B2006" s="134">
        <v>45041</v>
      </c>
      <c r="C2006" s="135">
        <v>17769.25</v>
      </c>
    </row>
    <row r="2007" spans="2:3" x14ac:dyDescent="0.3">
      <c r="B2007" s="134">
        <v>45042</v>
      </c>
      <c r="C2007" s="135">
        <v>17813.599999999999</v>
      </c>
    </row>
    <row r="2008" spans="2:3" x14ac:dyDescent="0.3">
      <c r="B2008" s="134">
        <v>45043</v>
      </c>
      <c r="C2008" s="135">
        <v>17915.05</v>
      </c>
    </row>
    <row r="2009" spans="2:3" x14ac:dyDescent="0.3">
      <c r="B2009" s="134">
        <v>45044</v>
      </c>
      <c r="C2009" s="135">
        <v>18065</v>
      </c>
    </row>
    <row r="2010" spans="2:3" x14ac:dyDescent="0.3">
      <c r="B2010" s="134">
        <v>45048</v>
      </c>
      <c r="C2010" s="135">
        <v>18147.650000000001</v>
      </c>
    </row>
    <row r="2011" spans="2:3" x14ac:dyDescent="0.3">
      <c r="B2011" s="134">
        <v>45049</v>
      </c>
      <c r="C2011" s="135">
        <v>18089.849999999999</v>
      </c>
    </row>
    <row r="2012" spans="2:3" x14ac:dyDescent="0.3">
      <c r="B2012" s="134">
        <v>45050</v>
      </c>
      <c r="C2012" s="135">
        <v>18255.8</v>
      </c>
    </row>
    <row r="2013" spans="2:3" x14ac:dyDescent="0.3">
      <c r="B2013" s="134">
        <v>45051</v>
      </c>
      <c r="C2013" s="135">
        <v>18069</v>
      </c>
    </row>
    <row r="2014" spans="2:3" x14ac:dyDescent="0.3">
      <c r="B2014" s="134">
        <v>45054</v>
      </c>
      <c r="C2014" s="135">
        <v>18264.400000000001</v>
      </c>
    </row>
    <row r="2015" spans="2:3" x14ac:dyDescent="0.3">
      <c r="B2015" s="134">
        <v>45055</v>
      </c>
      <c r="C2015" s="135">
        <v>18265.95</v>
      </c>
    </row>
    <row r="2016" spans="2:3" x14ac:dyDescent="0.3">
      <c r="B2016" s="134">
        <v>45056</v>
      </c>
      <c r="C2016" s="135">
        <v>18315.099999999999</v>
      </c>
    </row>
    <row r="2017" spans="2:3" x14ac:dyDescent="0.3">
      <c r="B2017" s="134">
        <v>45057</v>
      </c>
      <c r="C2017" s="135">
        <v>18297</v>
      </c>
    </row>
    <row r="2018" spans="2:3" x14ac:dyDescent="0.3">
      <c r="B2018" s="134">
        <v>45058</v>
      </c>
      <c r="C2018" s="135">
        <v>18314.8</v>
      </c>
    </row>
    <row r="2019" spans="2:3" x14ac:dyDescent="0.3">
      <c r="B2019" s="134">
        <v>45061</v>
      </c>
      <c r="C2019" s="135">
        <v>18398.849999999999</v>
      </c>
    </row>
    <row r="2020" spans="2:3" x14ac:dyDescent="0.3">
      <c r="B2020" s="134">
        <v>45062</v>
      </c>
      <c r="C2020" s="135">
        <v>18286.5</v>
      </c>
    </row>
    <row r="2021" spans="2:3" x14ac:dyDescent="0.3">
      <c r="B2021" s="134">
        <v>45063</v>
      </c>
      <c r="C2021" s="135">
        <v>18181.75</v>
      </c>
    </row>
    <row r="2022" spans="2:3" x14ac:dyDescent="0.3">
      <c r="B2022" s="134">
        <v>45064</v>
      </c>
      <c r="C2022" s="135">
        <v>18129.95</v>
      </c>
    </row>
    <row r="2023" spans="2:3" x14ac:dyDescent="0.3">
      <c r="B2023" s="134">
        <v>45065</v>
      </c>
      <c r="C2023" s="135">
        <v>18203.400000000001</v>
      </c>
    </row>
    <row r="2024" spans="2:3" x14ac:dyDescent="0.3">
      <c r="B2024" s="134">
        <v>45068</v>
      </c>
      <c r="C2024" s="135">
        <v>18314.400000000001</v>
      </c>
    </row>
    <row r="2025" spans="2:3" x14ac:dyDescent="0.3">
      <c r="B2025" s="134">
        <v>45069</v>
      </c>
      <c r="C2025" s="135">
        <v>18348</v>
      </c>
    </row>
    <row r="2026" spans="2:3" x14ac:dyDescent="0.3">
      <c r="B2026" s="134">
        <v>45070</v>
      </c>
      <c r="C2026" s="135">
        <v>18285.400000000001</v>
      </c>
    </row>
    <row r="2027" spans="2:3" x14ac:dyDescent="0.3">
      <c r="B2027" s="134">
        <v>45071</v>
      </c>
      <c r="C2027" s="135">
        <v>18321.150000000001</v>
      </c>
    </row>
    <row r="2028" spans="2:3" x14ac:dyDescent="0.3">
      <c r="B2028" s="134">
        <v>45072</v>
      </c>
      <c r="C2028" s="135">
        <v>18499.349999999999</v>
      </c>
    </row>
    <row r="2029" spans="2:3" x14ac:dyDescent="0.3">
      <c r="B2029" s="134">
        <v>45075</v>
      </c>
      <c r="C2029" s="135">
        <v>18598.650000000001</v>
      </c>
    </row>
    <row r="2030" spans="2:3" x14ac:dyDescent="0.3">
      <c r="B2030" s="134">
        <v>45076</v>
      </c>
      <c r="C2030" s="135">
        <v>18633.849999999999</v>
      </c>
    </row>
    <row r="2031" spans="2:3" x14ac:dyDescent="0.3">
      <c r="B2031" s="134">
        <v>45077</v>
      </c>
      <c r="C2031" s="135">
        <v>18534.400000000001</v>
      </c>
    </row>
    <row r="2032" spans="2:3" x14ac:dyDescent="0.3">
      <c r="B2032" s="134">
        <v>45078</v>
      </c>
      <c r="C2032" s="135">
        <v>18487.75</v>
      </c>
    </row>
    <row r="2033" spans="2:3" x14ac:dyDescent="0.3">
      <c r="B2033" s="134">
        <v>45079</v>
      </c>
      <c r="C2033" s="135">
        <v>18534.099999999999</v>
      </c>
    </row>
    <row r="2034" spans="2:3" x14ac:dyDescent="0.3">
      <c r="B2034" s="134">
        <v>45082</v>
      </c>
      <c r="C2034" s="135">
        <v>18593.849999999999</v>
      </c>
    </row>
    <row r="2035" spans="2:3" x14ac:dyDescent="0.3">
      <c r="B2035" s="134">
        <v>45083</v>
      </c>
      <c r="C2035" s="135">
        <v>18599</v>
      </c>
    </row>
    <row r="2036" spans="2:3" x14ac:dyDescent="0.3">
      <c r="B2036" s="134">
        <v>45084</v>
      </c>
      <c r="C2036" s="135">
        <v>18726.400000000001</v>
      </c>
    </row>
    <row r="2037" spans="2:3" x14ac:dyDescent="0.3">
      <c r="B2037" s="134">
        <v>45085</v>
      </c>
      <c r="C2037" s="135">
        <v>18634.55</v>
      </c>
    </row>
    <row r="2038" spans="2:3" x14ac:dyDescent="0.3">
      <c r="B2038" s="134">
        <v>45086</v>
      </c>
      <c r="C2038" s="135">
        <v>18563.400000000001</v>
      </c>
    </row>
    <row r="2039" spans="2:3" x14ac:dyDescent="0.3">
      <c r="B2039" s="134">
        <v>45089</v>
      </c>
      <c r="C2039" s="135">
        <v>18601.5</v>
      </c>
    </row>
    <row r="2040" spans="2:3" x14ac:dyDescent="0.3">
      <c r="B2040" s="134">
        <v>45090</v>
      </c>
      <c r="C2040" s="135">
        <v>18716.150000000001</v>
      </c>
    </row>
    <row r="2041" spans="2:3" x14ac:dyDescent="0.3">
      <c r="B2041" s="134">
        <v>45091</v>
      </c>
      <c r="C2041" s="135">
        <v>18755.900000000001</v>
      </c>
    </row>
    <row r="2042" spans="2:3" x14ac:dyDescent="0.3">
      <c r="B2042" s="134">
        <v>45092</v>
      </c>
      <c r="C2042" s="135">
        <v>18688.099999999999</v>
      </c>
    </row>
    <row r="2043" spans="2:3" x14ac:dyDescent="0.3">
      <c r="B2043" s="134">
        <v>45093</v>
      </c>
      <c r="C2043" s="135">
        <v>18826</v>
      </c>
    </row>
    <row r="2044" spans="2:3" x14ac:dyDescent="0.3">
      <c r="B2044" s="134">
        <v>45096</v>
      </c>
      <c r="C2044" s="135">
        <v>18755.45</v>
      </c>
    </row>
    <row r="2045" spans="2:3" x14ac:dyDescent="0.3">
      <c r="B2045" s="134">
        <v>45097</v>
      </c>
      <c r="C2045" s="135">
        <v>18816.7</v>
      </c>
    </row>
    <row r="2046" spans="2:3" x14ac:dyDescent="0.3">
      <c r="B2046" s="134">
        <v>45098</v>
      </c>
      <c r="C2046" s="135">
        <v>18856.849999999999</v>
      </c>
    </row>
    <row r="2047" spans="2:3" x14ac:dyDescent="0.3">
      <c r="B2047" s="134">
        <v>45099</v>
      </c>
      <c r="C2047" s="135">
        <v>18771.25</v>
      </c>
    </row>
    <row r="2048" spans="2:3" x14ac:dyDescent="0.3">
      <c r="B2048" s="134">
        <v>45100</v>
      </c>
      <c r="C2048" s="135">
        <v>18665.5</v>
      </c>
    </row>
    <row r="2049" spans="2:3" x14ac:dyDescent="0.3">
      <c r="B2049" s="134">
        <v>45103</v>
      </c>
      <c r="C2049" s="135">
        <v>18691.2</v>
      </c>
    </row>
    <row r="2050" spans="2:3" x14ac:dyDescent="0.3">
      <c r="B2050" s="134">
        <v>45104</v>
      </c>
      <c r="C2050" s="135">
        <v>18817.400000000001</v>
      </c>
    </row>
    <row r="2051" spans="2:3" x14ac:dyDescent="0.3">
      <c r="B2051" s="134">
        <v>45105</v>
      </c>
      <c r="C2051" s="135">
        <v>18972.099999999999</v>
      </c>
    </row>
    <row r="2052" spans="2:3" x14ac:dyDescent="0.3">
      <c r="B2052" s="134">
        <v>45107</v>
      </c>
      <c r="C2052" s="135">
        <v>19189.05</v>
      </c>
    </row>
    <row r="2053" spans="2:3" x14ac:dyDescent="0.3">
      <c r="B2053" s="134">
        <v>45110</v>
      </c>
      <c r="C2053" s="135">
        <v>19322.55</v>
      </c>
    </row>
    <row r="2054" spans="2:3" x14ac:dyDescent="0.3">
      <c r="B2054" s="134">
        <v>45111</v>
      </c>
      <c r="C2054" s="135">
        <v>19389</v>
      </c>
    </row>
    <row r="2055" spans="2:3" x14ac:dyDescent="0.3">
      <c r="B2055" s="134">
        <v>45112</v>
      </c>
      <c r="C2055" s="135">
        <v>19398.5</v>
      </c>
    </row>
    <row r="2056" spans="2:3" x14ac:dyDescent="0.3">
      <c r="B2056" s="134">
        <v>45113</v>
      </c>
      <c r="C2056" s="135">
        <v>19497.3</v>
      </c>
    </row>
    <row r="2057" spans="2:3" x14ac:dyDescent="0.3">
      <c r="B2057" s="134">
        <v>45114</v>
      </c>
      <c r="C2057" s="135">
        <v>19331.8</v>
      </c>
    </row>
    <row r="2058" spans="2:3" x14ac:dyDescent="0.3">
      <c r="B2058" s="134">
        <v>45117</v>
      </c>
      <c r="C2058" s="135">
        <v>19355.900000000001</v>
      </c>
    </row>
    <row r="2059" spans="2:3" x14ac:dyDescent="0.3">
      <c r="B2059" s="134">
        <v>45118</v>
      </c>
      <c r="C2059" s="135">
        <v>19439.400000000001</v>
      </c>
    </row>
    <row r="2060" spans="2:3" x14ac:dyDescent="0.3">
      <c r="B2060" s="134">
        <v>45119</v>
      </c>
      <c r="C2060" s="135">
        <v>19384.3</v>
      </c>
    </row>
    <row r="2061" spans="2:3" x14ac:dyDescent="0.3">
      <c r="B2061" s="134">
        <v>45120</v>
      </c>
      <c r="C2061" s="135">
        <v>19413.75</v>
      </c>
    </row>
    <row r="2062" spans="2:3" x14ac:dyDescent="0.3">
      <c r="B2062" s="134">
        <v>45121</v>
      </c>
      <c r="C2062" s="135">
        <v>19564.5</v>
      </c>
    </row>
    <row r="2063" spans="2:3" x14ac:dyDescent="0.3">
      <c r="B2063" s="134">
        <v>45124</v>
      </c>
      <c r="C2063" s="135">
        <v>19711.45</v>
      </c>
    </row>
    <row r="2064" spans="2:3" x14ac:dyDescent="0.3">
      <c r="B2064" s="134">
        <v>45125</v>
      </c>
      <c r="C2064" s="135">
        <v>19749.25</v>
      </c>
    </row>
    <row r="2065" spans="2:3" x14ac:dyDescent="0.3">
      <c r="B2065" s="134">
        <v>45126</v>
      </c>
      <c r="C2065" s="135">
        <v>19833.150000000001</v>
      </c>
    </row>
    <row r="2066" spans="2:3" x14ac:dyDescent="0.3">
      <c r="B2066" s="134">
        <v>45127</v>
      </c>
      <c r="C2066" s="135">
        <v>19979.150000000001</v>
      </c>
    </row>
    <row r="2067" spans="2:3" x14ac:dyDescent="0.3">
      <c r="B2067" s="134">
        <v>45128</v>
      </c>
      <c r="C2067" s="135">
        <v>19745</v>
      </c>
    </row>
    <row r="2068" spans="2:3" x14ac:dyDescent="0.3">
      <c r="B2068" s="134">
        <v>45131</v>
      </c>
      <c r="C2068" s="135">
        <v>19672.349999999999</v>
      </c>
    </row>
    <row r="2069" spans="2:3" x14ac:dyDescent="0.3">
      <c r="B2069" s="134">
        <v>45132</v>
      </c>
      <c r="C2069" s="135">
        <v>19680.599999999999</v>
      </c>
    </row>
    <row r="2070" spans="2:3" x14ac:dyDescent="0.3">
      <c r="B2070" s="134">
        <v>45133</v>
      </c>
      <c r="C2070" s="135">
        <v>19778.3</v>
      </c>
    </row>
    <row r="2071" spans="2:3" x14ac:dyDescent="0.3">
      <c r="B2071" s="134">
        <v>45134</v>
      </c>
      <c r="C2071" s="135">
        <v>19659.900000000001</v>
      </c>
    </row>
    <row r="2072" spans="2:3" x14ac:dyDescent="0.3">
      <c r="B2072" s="134">
        <v>45135</v>
      </c>
      <c r="C2072" s="135">
        <v>19646.05</v>
      </c>
    </row>
    <row r="2073" spans="2:3" x14ac:dyDescent="0.3">
      <c r="B2073" s="134">
        <v>45138</v>
      </c>
      <c r="C2073" s="135">
        <v>19753.8</v>
      </c>
    </row>
    <row r="2074" spans="2:3" x14ac:dyDescent="0.3">
      <c r="B2074" s="134">
        <v>45139</v>
      </c>
      <c r="C2074" s="135">
        <v>19733.55</v>
      </c>
    </row>
    <row r="2075" spans="2:3" x14ac:dyDescent="0.3">
      <c r="B2075" s="134">
        <v>45140</v>
      </c>
      <c r="C2075" s="135">
        <v>19526.55</v>
      </c>
    </row>
    <row r="2076" spans="2:3" x14ac:dyDescent="0.3">
      <c r="B2076" s="134">
        <v>45141</v>
      </c>
      <c r="C2076" s="135">
        <v>19381.650000000001</v>
      </c>
    </row>
    <row r="2077" spans="2:3" x14ac:dyDescent="0.3">
      <c r="B2077" s="134">
        <v>45142</v>
      </c>
      <c r="C2077" s="135">
        <v>19517</v>
      </c>
    </row>
    <row r="2078" spans="2:3" x14ac:dyDescent="0.3">
      <c r="B2078" s="134">
        <v>45145</v>
      </c>
      <c r="C2078" s="135">
        <v>19597.3</v>
      </c>
    </row>
    <row r="2079" spans="2:3" x14ac:dyDescent="0.3">
      <c r="B2079" s="134">
        <v>45146</v>
      </c>
      <c r="C2079" s="135">
        <v>19570.849999999999</v>
      </c>
    </row>
    <row r="2080" spans="2:3" x14ac:dyDescent="0.3">
      <c r="B2080" s="134">
        <v>45147</v>
      </c>
      <c r="C2080" s="135">
        <v>19632.55</v>
      </c>
    </row>
    <row r="2081" spans="2:3" x14ac:dyDescent="0.3">
      <c r="B2081" s="134">
        <v>45148</v>
      </c>
      <c r="C2081" s="135">
        <v>19543.099999999999</v>
      </c>
    </row>
    <row r="2082" spans="2:3" x14ac:dyDescent="0.3">
      <c r="B2082" s="134">
        <v>45149</v>
      </c>
      <c r="C2082" s="135">
        <v>19428.3</v>
      </c>
    </row>
    <row r="2083" spans="2:3" x14ac:dyDescent="0.3">
      <c r="B2083" s="134">
        <v>45152</v>
      </c>
      <c r="C2083" s="135">
        <v>19434.55</v>
      </c>
    </row>
    <row r="2084" spans="2:3" x14ac:dyDescent="0.3">
      <c r="B2084" s="134">
        <v>45154</v>
      </c>
      <c r="C2084" s="135">
        <v>19465</v>
      </c>
    </row>
    <row r="2085" spans="2:3" x14ac:dyDescent="0.3">
      <c r="B2085" s="134">
        <v>45155</v>
      </c>
      <c r="C2085" s="135">
        <v>19365.25</v>
      </c>
    </row>
    <row r="2086" spans="2:3" x14ac:dyDescent="0.3">
      <c r="B2086" s="134">
        <v>45156</v>
      </c>
      <c r="C2086" s="135">
        <v>19310.150000000001</v>
      </c>
    </row>
    <row r="2087" spans="2:3" x14ac:dyDescent="0.3">
      <c r="B2087" s="134">
        <v>45159</v>
      </c>
      <c r="C2087" s="135">
        <v>19393.599999999999</v>
      </c>
    </row>
    <row r="2088" spans="2:3" x14ac:dyDescent="0.3">
      <c r="B2088" s="134">
        <v>45160</v>
      </c>
      <c r="C2088" s="135">
        <v>19396.45</v>
      </c>
    </row>
    <row r="2089" spans="2:3" x14ac:dyDescent="0.3">
      <c r="B2089" s="134">
        <v>45161</v>
      </c>
      <c r="C2089" s="135">
        <v>19444</v>
      </c>
    </row>
    <row r="2090" spans="2:3" x14ac:dyDescent="0.3">
      <c r="B2090" s="134">
        <v>45162</v>
      </c>
      <c r="C2090" s="135">
        <v>19386.7</v>
      </c>
    </row>
    <row r="2091" spans="2:3" x14ac:dyDescent="0.3">
      <c r="B2091" s="134">
        <v>45163</v>
      </c>
      <c r="C2091" s="135">
        <v>19265.8</v>
      </c>
    </row>
    <row r="2092" spans="2:3" x14ac:dyDescent="0.3">
      <c r="B2092" s="134">
        <v>45166</v>
      </c>
      <c r="C2092" s="135">
        <v>19306.05</v>
      </c>
    </row>
    <row r="2093" spans="2:3" x14ac:dyDescent="0.3">
      <c r="B2093" s="134">
        <v>45167</v>
      </c>
      <c r="C2093" s="135">
        <v>19342.650000000001</v>
      </c>
    </row>
    <row r="2094" spans="2:3" x14ac:dyDescent="0.3">
      <c r="B2094" s="134">
        <v>45168</v>
      </c>
      <c r="C2094" s="135">
        <v>19347.45</v>
      </c>
    </row>
    <row r="2095" spans="2:3" x14ac:dyDescent="0.3">
      <c r="B2095" s="134">
        <v>45169</v>
      </c>
      <c r="C2095" s="135">
        <v>19253.8</v>
      </c>
    </row>
    <row r="2096" spans="2:3" x14ac:dyDescent="0.3">
      <c r="B2096" s="134">
        <v>45170</v>
      </c>
      <c r="C2096" s="135">
        <v>19435.3</v>
      </c>
    </row>
    <row r="2097" spans="2:3" x14ac:dyDescent="0.3">
      <c r="B2097" s="134">
        <v>45173</v>
      </c>
      <c r="C2097" s="135">
        <v>19528.8</v>
      </c>
    </row>
    <row r="2098" spans="2:3" x14ac:dyDescent="0.3">
      <c r="B2098" s="134">
        <v>45174</v>
      </c>
      <c r="C2098" s="135">
        <v>19574.900000000001</v>
      </c>
    </row>
    <row r="2099" spans="2:3" x14ac:dyDescent="0.3">
      <c r="B2099" s="134">
        <v>45175</v>
      </c>
      <c r="C2099" s="135">
        <v>19611.05</v>
      </c>
    </row>
    <row r="2100" spans="2:3" x14ac:dyDescent="0.3">
      <c r="B2100" s="134">
        <v>45176</v>
      </c>
      <c r="C2100" s="135">
        <v>19727.05</v>
      </c>
    </row>
    <row r="2101" spans="2:3" x14ac:dyDescent="0.3">
      <c r="B2101" s="134">
        <v>45177</v>
      </c>
      <c r="C2101" s="135">
        <v>19819.95</v>
      </c>
    </row>
    <row r="2102" spans="2:3" x14ac:dyDescent="0.3">
      <c r="B2102" s="134">
        <v>45180</v>
      </c>
      <c r="C2102" s="135">
        <v>19996.349999999999</v>
      </c>
    </row>
    <row r="2103" spans="2:3" x14ac:dyDescent="0.3">
      <c r="B2103" s="134">
        <v>45181</v>
      </c>
      <c r="C2103" s="135">
        <v>19993.2</v>
      </c>
    </row>
    <row r="2104" spans="2:3" x14ac:dyDescent="0.3">
      <c r="B2104" s="134">
        <v>45182</v>
      </c>
      <c r="C2104" s="135">
        <v>20070</v>
      </c>
    </row>
    <row r="2105" spans="2:3" x14ac:dyDescent="0.3">
      <c r="B2105" s="134">
        <v>45183</v>
      </c>
      <c r="C2105" s="135">
        <v>20103.099999999999</v>
      </c>
    </row>
    <row r="2106" spans="2:3" x14ac:dyDescent="0.3">
      <c r="B2106" s="134">
        <v>45184</v>
      </c>
      <c r="C2106" s="135">
        <v>20192.349999999999</v>
      </c>
    </row>
    <row r="2107" spans="2:3" x14ac:dyDescent="0.3">
      <c r="B2107" s="134">
        <v>45187</v>
      </c>
      <c r="C2107" s="135">
        <v>20133.3</v>
      </c>
    </row>
    <row r="2108" spans="2:3" x14ac:dyDescent="0.3">
      <c r="B2108" s="134">
        <v>45189</v>
      </c>
      <c r="C2108" s="135">
        <v>19901.400000000001</v>
      </c>
    </row>
    <row r="2109" spans="2:3" x14ac:dyDescent="0.3">
      <c r="B2109" s="134">
        <v>45190</v>
      </c>
      <c r="C2109" s="135">
        <v>19742.349999999999</v>
      </c>
    </row>
    <row r="2110" spans="2:3" x14ac:dyDescent="0.3">
      <c r="B2110" s="134">
        <v>45191</v>
      </c>
      <c r="C2110" s="135">
        <v>19674.25</v>
      </c>
    </row>
    <row r="2111" spans="2:3" x14ac:dyDescent="0.3">
      <c r="B2111" s="134">
        <v>45194</v>
      </c>
      <c r="C2111" s="135">
        <v>19674.55</v>
      </c>
    </row>
    <row r="2112" spans="2:3" x14ac:dyDescent="0.3">
      <c r="B2112" s="134">
        <v>45195</v>
      </c>
      <c r="C2112" s="135">
        <v>19664.7</v>
      </c>
    </row>
    <row r="2113" spans="2:3" x14ac:dyDescent="0.3">
      <c r="B2113" s="134">
        <v>45196</v>
      </c>
      <c r="C2113" s="135">
        <v>19716.45</v>
      </c>
    </row>
    <row r="2114" spans="2:3" x14ac:dyDescent="0.3">
      <c r="B2114" s="134">
        <v>45197</v>
      </c>
      <c r="C2114" s="135">
        <v>19523.55</v>
      </c>
    </row>
    <row r="2115" spans="2:3" x14ac:dyDescent="0.3">
      <c r="B2115" s="134">
        <v>45198</v>
      </c>
      <c r="C2115" s="135">
        <v>19638.3</v>
      </c>
    </row>
    <row r="2116" spans="2:3" x14ac:dyDescent="0.3">
      <c r="B2116" s="134">
        <v>45202</v>
      </c>
      <c r="C2116" s="135">
        <v>19528.75</v>
      </c>
    </row>
    <row r="2117" spans="2:3" x14ac:dyDescent="0.3">
      <c r="B2117" s="134">
        <v>45203</v>
      </c>
      <c r="C2117" s="135">
        <v>19436.099999999999</v>
      </c>
    </row>
    <row r="2118" spans="2:3" x14ac:dyDescent="0.3">
      <c r="B2118" s="134">
        <v>45204</v>
      </c>
      <c r="C2118" s="135">
        <v>19545.75</v>
      </c>
    </row>
    <row r="2119" spans="2:3" x14ac:dyDescent="0.3">
      <c r="B2119" s="134">
        <v>45205</v>
      </c>
      <c r="C2119" s="135">
        <v>19653.5</v>
      </c>
    </row>
    <row r="2120" spans="2:3" x14ac:dyDescent="0.3">
      <c r="B2120" s="134">
        <v>45208</v>
      </c>
      <c r="C2120" s="135">
        <v>19512.349999999999</v>
      </c>
    </row>
    <row r="2121" spans="2:3" x14ac:dyDescent="0.3">
      <c r="B2121" s="134">
        <v>45209</v>
      </c>
      <c r="C2121" s="135">
        <v>19689.849999999999</v>
      </c>
    </row>
    <row r="2122" spans="2:3" x14ac:dyDescent="0.3">
      <c r="B2122" s="134">
        <v>45210</v>
      </c>
      <c r="C2122" s="135">
        <v>19811.349999999999</v>
      </c>
    </row>
    <row r="2123" spans="2:3" x14ac:dyDescent="0.3">
      <c r="B2123" s="134">
        <v>45211</v>
      </c>
      <c r="C2123" s="135">
        <v>19794</v>
      </c>
    </row>
    <row r="2124" spans="2:3" x14ac:dyDescent="0.3">
      <c r="B2124" s="134">
        <v>45212</v>
      </c>
      <c r="C2124" s="135">
        <v>19751.05</v>
      </c>
    </row>
    <row r="2125" spans="2:3" x14ac:dyDescent="0.3">
      <c r="B2125" s="134">
        <v>45215</v>
      </c>
      <c r="C2125" s="135">
        <v>19731.75</v>
      </c>
    </row>
    <row r="2126" spans="2:3" x14ac:dyDescent="0.3">
      <c r="B2126" s="134">
        <v>45216</v>
      </c>
      <c r="C2126" s="135">
        <v>19811.5</v>
      </c>
    </row>
    <row r="2127" spans="2:3" x14ac:dyDescent="0.3">
      <c r="B2127" s="134">
        <v>45217</v>
      </c>
      <c r="C2127" s="135">
        <v>19671.099999999999</v>
      </c>
    </row>
    <row r="2128" spans="2:3" x14ac:dyDescent="0.3">
      <c r="B2128" s="134">
        <v>45218</v>
      </c>
      <c r="C2128" s="135">
        <v>19624.7</v>
      </c>
    </row>
    <row r="2129" spans="2:3" x14ac:dyDescent="0.3">
      <c r="B2129" s="134">
        <v>45219</v>
      </c>
      <c r="C2129" s="135">
        <v>19542.650000000001</v>
      </c>
    </row>
    <row r="2130" spans="2:3" x14ac:dyDescent="0.3">
      <c r="B2130" s="134">
        <v>45222</v>
      </c>
      <c r="C2130" s="135">
        <v>19281.75</v>
      </c>
    </row>
    <row r="2131" spans="2:3" x14ac:dyDescent="0.3">
      <c r="B2131" s="134">
        <v>45224</v>
      </c>
      <c r="C2131" s="135">
        <v>19122.150000000001</v>
      </c>
    </row>
    <row r="2132" spans="2:3" x14ac:dyDescent="0.3">
      <c r="B2132" s="134">
        <v>45225</v>
      </c>
      <c r="C2132" s="135">
        <v>18857.25</v>
      </c>
    </row>
    <row r="2133" spans="2:3" x14ac:dyDescent="0.3">
      <c r="B2133" s="134">
        <v>45226</v>
      </c>
      <c r="C2133" s="135">
        <v>19047.25</v>
      </c>
    </row>
    <row r="2134" spans="2:3" x14ac:dyDescent="0.3">
      <c r="B2134" s="134">
        <v>45229</v>
      </c>
      <c r="C2134" s="135">
        <v>19140.900000000001</v>
      </c>
    </row>
    <row r="2135" spans="2:3" x14ac:dyDescent="0.3">
      <c r="B2135" s="134">
        <v>45230</v>
      </c>
      <c r="C2135" s="135">
        <v>19079.599999999999</v>
      </c>
    </row>
    <row r="2136" spans="2:3" x14ac:dyDescent="0.3">
      <c r="B2136" s="134">
        <v>45231</v>
      </c>
      <c r="C2136" s="135">
        <v>18989.150000000001</v>
      </c>
    </row>
    <row r="2137" spans="2:3" x14ac:dyDescent="0.3">
      <c r="B2137" s="134">
        <v>45232</v>
      </c>
      <c r="C2137" s="135">
        <v>19133.25</v>
      </c>
    </row>
    <row r="2138" spans="2:3" x14ac:dyDescent="0.3">
      <c r="B2138" s="134">
        <v>45233</v>
      </c>
      <c r="C2138" s="135">
        <v>19230.599999999999</v>
      </c>
    </row>
    <row r="2139" spans="2:3" x14ac:dyDescent="0.3">
      <c r="B2139" s="134">
        <v>45236</v>
      </c>
      <c r="C2139" s="135">
        <v>19411.75</v>
      </c>
    </row>
    <row r="2140" spans="2:3" x14ac:dyDescent="0.3">
      <c r="B2140" s="134">
        <v>45237</v>
      </c>
      <c r="C2140" s="135">
        <v>19406.7</v>
      </c>
    </row>
    <row r="2141" spans="2:3" x14ac:dyDescent="0.3">
      <c r="B2141" s="134">
        <v>45238</v>
      </c>
      <c r="C2141" s="135">
        <v>19443.5</v>
      </c>
    </row>
    <row r="2142" spans="2:3" x14ac:dyDescent="0.3">
      <c r="B2142" s="134">
        <v>45239</v>
      </c>
      <c r="C2142" s="135">
        <v>19395.3</v>
      </c>
    </row>
    <row r="2143" spans="2:3" x14ac:dyDescent="0.3">
      <c r="B2143" s="134">
        <v>45240</v>
      </c>
      <c r="C2143" s="135">
        <v>19425.349999999999</v>
      </c>
    </row>
    <row r="2144" spans="2:3" x14ac:dyDescent="0.3">
      <c r="B2144" s="134">
        <v>45243</v>
      </c>
      <c r="C2144" s="135">
        <v>19443.55</v>
      </c>
    </row>
    <row r="2145" spans="2:3" x14ac:dyDescent="0.3">
      <c r="B2145" s="134">
        <v>45245</v>
      </c>
      <c r="C2145" s="135">
        <v>19675.45</v>
      </c>
    </row>
    <row r="2146" spans="2:3" x14ac:dyDescent="0.3">
      <c r="B2146" s="134">
        <v>45246</v>
      </c>
      <c r="C2146" s="135">
        <v>19765.2</v>
      </c>
    </row>
    <row r="2147" spans="2:3" x14ac:dyDescent="0.3">
      <c r="B2147" s="134">
        <v>45247</v>
      </c>
      <c r="C2147" s="135">
        <v>19731.8</v>
      </c>
    </row>
    <row r="2148" spans="2:3" x14ac:dyDescent="0.3">
      <c r="B2148" s="134">
        <v>45250</v>
      </c>
      <c r="C2148" s="135">
        <v>19694</v>
      </c>
    </row>
    <row r="2149" spans="2:3" x14ac:dyDescent="0.3">
      <c r="B2149" s="134">
        <v>45251</v>
      </c>
      <c r="C2149" s="135">
        <v>19783.400000000001</v>
      </c>
    </row>
    <row r="2150" spans="2:3" x14ac:dyDescent="0.3">
      <c r="B2150" s="134">
        <v>45252</v>
      </c>
      <c r="C2150" s="135">
        <v>19811.849999999999</v>
      </c>
    </row>
    <row r="2151" spans="2:3" x14ac:dyDescent="0.3">
      <c r="B2151" s="134">
        <v>45253</v>
      </c>
      <c r="C2151" s="135">
        <v>19802</v>
      </c>
    </row>
    <row r="2152" spans="2:3" x14ac:dyDescent="0.3">
      <c r="B2152" s="134">
        <v>45254</v>
      </c>
      <c r="C2152" s="135">
        <v>19794.7</v>
      </c>
    </row>
    <row r="2153" spans="2:3" x14ac:dyDescent="0.3">
      <c r="B2153" s="134">
        <v>45258</v>
      </c>
      <c r="C2153" s="135">
        <v>19889.7</v>
      </c>
    </row>
    <row r="2154" spans="2:3" x14ac:dyDescent="0.3">
      <c r="B2154" s="134">
        <v>45259</v>
      </c>
      <c r="C2154" s="135">
        <v>20096.599999999999</v>
      </c>
    </row>
    <row r="2155" spans="2:3" x14ac:dyDescent="0.3">
      <c r="B2155" s="134">
        <v>45260</v>
      </c>
      <c r="C2155" s="135">
        <v>20133.150000000001</v>
      </c>
    </row>
    <row r="2156" spans="2:3" x14ac:dyDescent="0.3">
      <c r="B2156" s="134">
        <v>45261</v>
      </c>
      <c r="C2156" s="135">
        <v>20267.900000000001</v>
      </c>
    </row>
    <row r="2157" spans="2:3" x14ac:dyDescent="0.3">
      <c r="B2157" s="134">
        <v>45264</v>
      </c>
      <c r="C2157" s="135">
        <v>20686.8</v>
      </c>
    </row>
    <row r="2158" spans="2:3" x14ac:dyDescent="0.3">
      <c r="B2158" s="134">
        <v>45265</v>
      </c>
      <c r="C2158" s="135">
        <v>20855.099999999999</v>
      </c>
    </row>
    <row r="2159" spans="2:3" x14ac:dyDescent="0.3">
      <c r="B2159" s="134">
        <v>45266</v>
      </c>
      <c r="C2159" s="135">
        <v>20937.7</v>
      </c>
    </row>
    <row r="2160" spans="2:3" x14ac:dyDescent="0.3">
      <c r="B2160" s="134">
        <v>45267</v>
      </c>
      <c r="C2160" s="135">
        <v>20901.150000000001</v>
      </c>
    </row>
    <row r="2161" spans="2:3" x14ac:dyDescent="0.3">
      <c r="B2161" s="134">
        <v>45268</v>
      </c>
      <c r="C2161" s="135">
        <v>20969.400000000001</v>
      </c>
    </row>
    <row r="2162" spans="2:3" x14ac:dyDescent="0.3">
      <c r="B2162" s="134">
        <v>45271</v>
      </c>
      <c r="C2162" s="135">
        <v>20997.1</v>
      </c>
    </row>
    <row r="2163" spans="2:3" x14ac:dyDescent="0.3">
      <c r="B2163" s="134">
        <v>45272</v>
      </c>
      <c r="C2163" s="135">
        <v>20906.400000000001</v>
      </c>
    </row>
    <row r="2164" spans="2:3" x14ac:dyDescent="0.3">
      <c r="B2164" s="134">
        <v>45273</v>
      </c>
      <c r="C2164" s="135">
        <v>20926.349999999999</v>
      </c>
    </row>
    <row r="2165" spans="2:3" x14ac:dyDescent="0.3">
      <c r="B2165" s="134">
        <v>45274</v>
      </c>
      <c r="C2165" s="135">
        <v>21182.7</v>
      </c>
    </row>
    <row r="2166" spans="2:3" x14ac:dyDescent="0.3">
      <c r="B2166" s="134">
        <v>45275</v>
      </c>
      <c r="C2166" s="135">
        <v>21456.65</v>
      </c>
    </row>
    <row r="2167" spans="2:3" x14ac:dyDescent="0.3">
      <c r="B2167" s="134">
        <v>45278</v>
      </c>
      <c r="C2167" s="135">
        <v>21418.65</v>
      </c>
    </row>
    <row r="2168" spans="2:3" x14ac:dyDescent="0.3">
      <c r="B2168" s="134">
        <v>45279</v>
      </c>
      <c r="C2168" s="135">
        <v>21453.1</v>
      </c>
    </row>
    <row r="2169" spans="2:3" x14ac:dyDescent="0.3">
      <c r="B2169" s="134">
        <v>45280</v>
      </c>
      <c r="C2169" s="135">
        <v>21150.15</v>
      </c>
    </row>
    <row r="2170" spans="2:3" x14ac:dyDescent="0.3">
      <c r="B2170" s="134">
        <v>45281</v>
      </c>
      <c r="C2170" s="135">
        <v>21255.05</v>
      </c>
    </row>
    <row r="2171" spans="2:3" x14ac:dyDescent="0.3">
      <c r="B2171" s="134">
        <v>45282</v>
      </c>
      <c r="C2171" s="135">
        <v>21349.4</v>
      </c>
    </row>
    <row r="2172" spans="2:3" x14ac:dyDescent="0.3">
      <c r="B2172" s="134">
        <v>45286</v>
      </c>
      <c r="C2172" s="135">
        <v>21441.35</v>
      </c>
    </row>
    <row r="2173" spans="2:3" x14ac:dyDescent="0.3">
      <c r="B2173" s="134">
        <v>45287</v>
      </c>
      <c r="C2173" s="135">
        <v>21654.75</v>
      </c>
    </row>
    <row r="2174" spans="2:3" x14ac:dyDescent="0.3">
      <c r="B2174" s="134">
        <v>45288</v>
      </c>
      <c r="C2174" s="135">
        <v>21778.7</v>
      </c>
    </row>
    <row r="2175" spans="2:3" x14ac:dyDescent="0.3">
      <c r="B2175" s="134">
        <v>45289</v>
      </c>
      <c r="C2175" s="135">
        <v>21731.4</v>
      </c>
    </row>
    <row r="2176" spans="2:3" x14ac:dyDescent="0.3">
      <c r="B2176" s="134">
        <v>45292</v>
      </c>
      <c r="C2176" s="135">
        <v>21741.9</v>
      </c>
    </row>
    <row r="2177" spans="2:3" x14ac:dyDescent="0.3">
      <c r="B2177" s="134">
        <v>45293</v>
      </c>
      <c r="C2177" s="135">
        <v>21665.8</v>
      </c>
    </row>
    <row r="2178" spans="2:3" x14ac:dyDescent="0.3">
      <c r="B2178" s="134">
        <v>45294</v>
      </c>
      <c r="C2178" s="135">
        <v>21517.35</v>
      </c>
    </row>
    <row r="2179" spans="2:3" x14ac:dyDescent="0.3">
      <c r="B2179" s="134">
        <v>45295</v>
      </c>
      <c r="C2179" s="135">
        <v>21658.6</v>
      </c>
    </row>
    <row r="2180" spans="2:3" x14ac:dyDescent="0.3">
      <c r="B2180" s="134">
        <v>45296</v>
      </c>
      <c r="C2180" s="135">
        <v>21710.799999999999</v>
      </c>
    </row>
    <row r="2181" spans="2:3" x14ac:dyDescent="0.3">
      <c r="B2181" s="134">
        <v>45299</v>
      </c>
      <c r="C2181" s="135">
        <v>21513</v>
      </c>
    </row>
    <row r="2182" spans="2:3" x14ac:dyDescent="0.3">
      <c r="B2182" s="134">
        <v>45300</v>
      </c>
      <c r="C2182" s="135">
        <v>21544.85</v>
      </c>
    </row>
    <row r="2183" spans="2:3" x14ac:dyDescent="0.3">
      <c r="B2183" s="134">
        <v>45301</v>
      </c>
      <c r="C2183" s="135">
        <v>21618.7</v>
      </c>
    </row>
    <row r="2184" spans="2:3" x14ac:dyDescent="0.3">
      <c r="B2184" s="134">
        <v>45302</v>
      </c>
      <c r="C2184" s="135">
        <v>21647.200000000001</v>
      </c>
    </row>
    <row r="2185" spans="2:3" x14ac:dyDescent="0.3">
      <c r="B2185" s="134">
        <v>45303</v>
      </c>
      <c r="C2185" s="135">
        <v>21894.55</v>
      </c>
    </row>
    <row r="2186" spans="2:3" x14ac:dyDescent="0.3">
      <c r="B2186" s="134">
        <v>45306</v>
      </c>
      <c r="C2186" s="135">
        <v>22097.45</v>
      </c>
    </row>
    <row r="2187" spans="2:3" x14ac:dyDescent="0.3">
      <c r="B2187" s="134">
        <v>45307</v>
      </c>
      <c r="C2187" s="135">
        <v>22032.3</v>
      </c>
    </row>
    <row r="2188" spans="2:3" x14ac:dyDescent="0.3">
      <c r="B2188" s="134">
        <v>45308</v>
      </c>
      <c r="C2188" s="135">
        <v>21571.95</v>
      </c>
    </row>
    <row r="2189" spans="2:3" x14ac:dyDescent="0.3">
      <c r="B2189" s="134">
        <v>45309</v>
      </c>
      <c r="C2189" s="135">
        <v>21462.25</v>
      </c>
    </row>
    <row r="2190" spans="2:3" x14ac:dyDescent="0.3">
      <c r="B2190" s="134">
        <v>45310</v>
      </c>
      <c r="C2190" s="135">
        <v>21622.400000000001</v>
      </c>
    </row>
    <row r="2191" spans="2:3" x14ac:dyDescent="0.3">
      <c r="B2191" s="134">
        <v>45314</v>
      </c>
      <c r="C2191" s="135">
        <v>21238.799999999999</v>
      </c>
    </row>
    <row r="2192" spans="2:3" x14ac:dyDescent="0.3">
      <c r="B2192" s="134">
        <v>45315</v>
      </c>
      <c r="C2192" s="135">
        <v>21453.95</v>
      </c>
    </row>
    <row r="2193" spans="2:3" x14ac:dyDescent="0.3">
      <c r="B2193" s="134">
        <v>45316</v>
      </c>
      <c r="C2193" s="135">
        <v>21352.6</v>
      </c>
    </row>
    <row r="2194" spans="2:3" x14ac:dyDescent="0.3">
      <c r="B2194" s="134">
        <v>45320</v>
      </c>
      <c r="C2194" s="135">
        <v>21737.599999999999</v>
      </c>
    </row>
    <row r="2195" spans="2:3" x14ac:dyDescent="0.3">
      <c r="B2195" s="134">
        <v>45321</v>
      </c>
      <c r="C2195" s="135">
        <v>21522.1</v>
      </c>
    </row>
    <row r="2196" spans="2:3" x14ac:dyDescent="0.3">
      <c r="B2196" s="134">
        <v>45322</v>
      </c>
      <c r="C2196" s="135">
        <v>21725.7</v>
      </c>
    </row>
    <row r="2197" spans="2:3" x14ac:dyDescent="0.3">
      <c r="B2197" s="134">
        <v>45323</v>
      </c>
      <c r="C2197" s="135">
        <v>21697.45</v>
      </c>
    </row>
    <row r="2198" spans="2:3" x14ac:dyDescent="0.3">
      <c r="B2198" s="134">
        <v>45324</v>
      </c>
      <c r="C2198" s="135">
        <v>21853.8</v>
      </c>
    </row>
    <row r="2199" spans="2:3" x14ac:dyDescent="0.3">
      <c r="B2199" s="134">
        <v>45327</v>
      </c>
      <c r="C2199" s="135">
        <v>21771.7</v>
      </c>
    </row>
    <row r="2200" spans="2:3" x14ac:dyDescent="0.3">
      <c r="B2200" s="134">
        <v>45328</v>
      </c>
      <c r="C2200" s="135">
        <v>21929.4</v>
      </c>
    </row>
    <row r="2201" spans="2:3" x14ac:dyDescent="0.3">
      <c r="B2201" s="134">
        <v>45329</v>
      </c>
      <c r="C2201" s="135">
        <v>21930.5</v>
      </c>
    </row>
    <row r="2202" spans="2:3" x14ac:dyDescent="0.3">
      <c r="B2202" s="134">
        <v>45330</v>
      </c>
      <c r="C2202" s="135">
        <v>21717.95</v>
      </c>
    </row>
    <row r="2203" spans="2:3" x14ac:dyDescent="0.3">
      <c r="B2203" s="134">
        <v>45331</v>
      </c>
      <c r="C2203" s="135">
        <v>21782.5</v>
      </c>
    </row>
    <row r="2204" spans="2:3" x14ac:dyDescent="0.3">
      <c r="B2204" s="134">
        <v>45334</v>
      </c>
      <c r="C2204" s="135">
        <v>21616.05</v>
      </c>
    </row>
    <row r="2205" spans="2:3" x14ac:dyDescent="0.3">
      <c r="B2205" s="134">
        <v>45335</v>
      </c>
      <c r="C2205" s="135">
        <v>21743.25</v>
      </c>
    </row>
    <row r="2206" spans="2:3" x14ac:dyDescent="0.3">
      <c r="B2206" s="134">
        <v>45336</v>
      </c>
      <c r="C2206" s="135">
        <v>21840.05</v>
      </c>
    </row>
    <row r="2207" spans="2:3" x14ac:dyDescent="0.3">
      <c r="B2207" s="134">
        <v>45337</v>
      </c>
      <c r="C2207" s="135">
        <v>21910.75</v>
      </c>
    </row>
    <row r="2208" spans="2:3" x14ac:dyDescent="0.3">
      <c r="B2208" s="134">
        <v>45338</v>
      </c>
      <c r="C2208" s="135">
        <v>22040.7</v>
      </c>
    </row>
    <row r="2209" spans="2:3" x14ac:dyDescent="0.3">
      <c r="B2209" s="134">
        <v>45341</v>
      </c>
      <c r="C2209" s="135">
        <v>22122.25</v>
      </c>
    </row>
    <row r="2210" spans="2:3" x14ac:dyDescent="0.3">
      <c r="B2210" s="134">
        <v>45342</v>
      </c>
      <c r="C2210" s="135">
        <v>22196.95</v>
      </c>
    </row>
    <row r="2211" spans="2:3" x14ac:dyDescent="0.3">
      <c r="B2211" s="134">
        <v>45343</v>
      </c>
      <c r="C2211" s="135">
        <v>22055.05</v>
      </c>
    </row>
    <row r="2212" spans="2:3" x14ac:dyDescent="0.3">
      <c r="B2212" s="134">
        <v>45344</v>
      </c>
      <c r="C2212" s="135">
        <v>22217.45</v>
      </c>
    </row>
    <row r="2213" spans="2:3" x14ac:dyDescent="0.3">
      <c r="B2213" s="134">
        <v>45345</v>
      </c>
      <c r="C2213" s="135">
        <v>22212.7</v>
      </c>
    </row>
    <row r="2214" spans="2:3" x14ac:dyDescent="0.3">
      <c r="B2214" s="134">
        <v>45348</v>
      </c>
      <c r="C2214" s="135">
        <v>22122.05</v>
      </c>
    </row>
    <row r="2215" spans="2:3" x14ac:dyDescent="0.3">
      <c r="B2215" s="134">
        <v>45349</v>
      </c>
      <c r="C2215" s="135">
        <v>22198.35</v>
      </c>
    </row>
    <row r="2216" spans="2:3" x14ac:dyDescent="0.3">
      <c r="B2216" s="134">
        <v>45350</v>
      </c>
      <c r="C2216" s="135">
        <v>21951.15</v>
      </c>
    </row>
    <row r="2217" spans="2:3" x14ac:dyDescent="0.3">
      <c r="B2217" s="134">
        <v>45351</v>
      </c>
      <c r="C2217" s="135">
        <v>21982.799999999999</v>
      </c>
    </row>
    <row r="2218" spans="2:3" x14ac:dyDescent="0.3">
      <c r="B2218" s="134">
        <v>45352</v>
      </c>
      <c r="C2218" s="135">
        <v>22338.75</v>
      </c>
    </row>
    <row r="2219" spans="2:3" x14ac:dyDescent="0.3">
      <c r="B2219" s="134">
        <v>45355</v>
      </c>
      <c r="C2219" s="135">
        <v>22405.599999999999</v>
      </c>
    </row>
    <row r="2220" spans="2:3" x14ac:dyDescent="0.3">
      <c r="B2220" s="134">
        <v>45356</v>
      </c>
      <c r="C2220" s="135">
        <v>22356.3</v>
      </c>
    </row>
    <row r="2221" spans="2:3" x14ac:dyDescent="0.3">
      <c r="B2221" s="134">
        <v>45357</v>
      </c>
      <c r="C2221" s="135">
        <v>22474.05</v>
      </c>
    </row>
    <row r="2222" spans="2:3" x14ac:dyDescent="0.3">
      <c r="B2222" s="134">
        <v>45358</v>
      </c>
      <c r="C2222" s="135">
        <v>22493.55</v>
      </c>
    </row>
    <row r="2223" spans="2:3" x14ac:dyDescent="0.3">
      <c r="B2223" s="134">
        <v>45362</v>
      </c>
      <c r="C2223" s="135">
        <v>22332.65</v>
      </c>
    </row>
    <row r="2224" spans="2:3" x14ac:dyDescent="0.3">
      <c r="B2224" s="134">
        <v>45363</v>
      </c>
      <c r="C2224" s="135">
        <v>22335.7</v>
      </c>
    </row>
    <row r="2225" spans="2:3" x14ac:dyDescent="0.3">
      <c r="B2225" s="134">
        <v>45364</v>
      </c>
      <c r="C2225" s="135">
        <v>21997.7</v>
      </c>
    </row>
    <row r="2226" spans="2:3" x14ac:dyDescent="0.3">
      <c r="B2226" s="134">
        <v>45365</v>
      </c>
      <c r="C2226" s="135">
        <v>22146.65</v>
      </c>
    </row>
    <row r="2227" spans="2:3" x14ac:dyDescent="0.3">
      <c r="B2227" s="134">
        <v>45366</v>
      </c>
      <c r="C2227" s="135">
        <v>22023.35</v>
      </c>
    </row>
    <row r="2228" spans="2:3" x14ac:dyDescent="0.3">
      <c r="B2228" s="134">
        <v>45369</v>
      </c>
      <c r="C2228" s="135">
        <v>22055.7</v>
      </c>
    </row>
    <row r="2229" spans="2:3" x14ac:dyDescent="0.3">
      <c r="B2229" s="134">
        <v>45370</v>
      </c>
      <c r="C2229" s="135">
        <v>21817.45</v>
      </c>
    </row>
    <row r="2230" spans="2:3" x14ac:dyDescent="0.3">
      <c r="B2230" s="134">
        <v>45371</v>
      </c>
      <c r="C2230" s="135">
        <v>21839.1</v>
      </c>
    </row>
    <row r="2231" spans="2:3" x14ac:dyDescent="0.3">
      <c r="B2231" s="134">
        <v>45372</v>
      </c>
      <c r="C2231" s="135">
        <v>22011.95</v>
      </c>
    </row>
    <row r="2232" spans="2:3" x14ac:dyDescent="0.3">
      <c r="B2232" s="134">
        <v>45373</v>
      </c>
      <c r="C2232" s="135">
        <v>22096.75</v>
      </c>
    </row>
    <row r="2233" spans="2:3" x14ac:dyDescent="0.3">
      <c r="B2233" s="134">
        <v>45377</v>
      </c>
      <c r="C2233" s="135">
        <v>22004.7</v>
      </c>
    </row>
    <row r="2234" spans="2:3" x14ac:dyDescent="0.3">
      <c r="B2234" s="134">
        <v>45378</v>
      </c>
      <c r="C2234" s="135">
        <v>22123.65</v>
      </c>
    </row>
    <row r="2235" spans="2:3" x14ac:dyDescent="0.3">
      <c r="B2235" s="134">
        <v>45379</v>
      </c>
      <c r="C2235" s="135">
        <v>22326.9</v>
      </c>
    </row>
    <row r="2236" spans="2:3" x14ac:dyDescent="0.3">
      <c r="B2236" s="134">
        <v>45383</v>
      </c>
      <c r="C2236" s="135">
        <v>22462</v>
      </c>
    </row>
    <row r="2237" spans="2:3" x14ac:dyDescent="0.3">
      <c r="B2237" s="134">
        <v>45384</v>
      </c>
      <c r="C2237" s="135">
        <v>22453.3</v>
      </c>
    </row>
    <row r="2238" spans="2:3" x14ac:dyDescent="0.3">
      <c r="B2238" s="134">
        <v>45385</v>
      </c>
      <c r="C2238" s="135">
        <v>22434.65</v>
      </c>
    </row>
    <row r="2239" spans="2:3" x14ac:dyDescent="0.3">
      <c r="B2239" s="134">
        <v>45386</v>
      </c>
      <c r="C2239" s="135">
        <v>22514.65</v>
      </c>
    </row>
    <row r="2240" spans="2:3" x14ac:dyDescent="0.3">
      <c r="B2240" s="134">
        <v>45387</v>
      </c>
      <c r="C2240" s="135">
        <v>22513.7</v>
      </c>
    </row>
    <row r="2241" spans="2:3" x14ac:dyDescent="0.3">
      <c r="B2241" s="134">
        <v>45390</v>
      </c>
      <c r="C2241" s="135">
        <v>22666.3</v>
      </c>
    </row>
    <row r="2242" spans="2:3" x14ac:dyDescent="0.3">
      <c r="B2242" s="134">
        <v>45391</v>
      </c>
      <c r="C2242" s="135">
        <v>22642.75</v>
      </c>
    </row>
    <row r="2243" spans="2:3" x14ac:dyDescent="0.3">
      <c r="B2243" s="134">
        <v>45392</v>
      </c>
      <c r="C2243" s="135">
        <v>22753.8</v>
      </c>
    </row>
    <row r="2244" spans="2:3" x14ac:dyDescent="0.3">
      <c r="B2244" s="134">
        <v>45394</v>
      </c>
      <c r="C2244" s="135">
        <v>22519.4</v>
      </c>
    </row>
    <row r="2245" spans="2:3" x14ac:dyDescent="0.3">
      <c r="B2245" s="134">
        <v>45397</v>
      </c>
      <c r="C2245" s="135">
        <v>22272.5</v>
      </c>
    </row>
    <row r="2246" spans="2:3" x14ac:dyDescent="0.3">
      <c r="B2246" s="134">
        <v>45398</v>
      </c>
      <c r="C2246" s="135">
        <v>22147.9</v>
      </c>
    </row>
    <row r="2247" spans="2:3" x14ac:dyDescent="0.3">
      <c r="B2247" s="134">
        <v>45400</v>
      </c>
      <c r="C2247" s="135">
        <v>21995.85</v>
      </c>
    </row>
    <row r="2248" spans="2:3" x14ac:dyDescent="0.3">
      <c r="B2248" s="134">
        <v>45401</v>
      </c>
      <c r="C2248" s="135">
        <v>22147</v>
      </c>
    </row>
    <row r="2249" spans="2:3" x14ac:dyDescent="0.3">
      <c r="B2249" s="134">
        <v>45404</v>
      </c>
      <c r="C2249" s="135">
        <v>22336.400000000001</v>
      </c>
    </row>
    <row r="2250" spans="2:3" x14ac:dyDescent="0.3">
      <c r="B2250" s="134">
        <v>45405</v>
      </c>
      <c r="C2250" s="135">
        <v>22368</v>
      </c>
    </row>
    <row r="2251" spans="2:3" x14ac:dyDescent="0.3">
      <c r="B2251" s="134">
        <v>45406</v>
      </c>
      <c r="C2251" s="135">
        <v>22402.400000000001</v>
      </c>
    </row>
    <row r="2252" spans="2:3" x14ac:dyDescent="0.3">
      <c r="B2252" s="134">
        <v>45407</v>
      </c>
      <c r="C2252" s="135">
        <v>22570.35</v>
      </c>
    </row>
    <row r="2253" spans="2:3" x14ac:dyDescent="0.3">
      <c r="B2253" s="134">
        <v>45408</v>
      </c>
      <c r="C2253" s="135">
        <v>22419.95</v>
      </c>
    </row>
    <row r="2254" spans="2:3" x14ac:dyDescent="0.3">
      <c r="B2254" s="134">
        <v>45411</v>
      </c>
      <c r="C2254" s="135">
        <v>22643.4</v>
      </c>
    </row>
    <row r="2255" spans="2:3" x14ac:dyDescent="0.3">
      <c r="B2255" s="134">
        <v>45412</v>
      </c>
      <c r="C2255" s="135">
        <v>22604.85</v>
      </c>
    </row>
    <row r="2256" spans="2:3" x14ac:dyDescent="0.3">
      <c r="B2256" s="134">
        <v>45414</v>
      </c>
      <c r="C2256" s="135">
        <v>22648.2</v>
      </c>
    </row>
    <row r="2257" spans="2:3" x14ac:dyDescent="0.3">
      <c r="B2257" s="134">
        <v>45415</v>
      </c>
      <c r="C2257" s="135">
        <v>22475.85</v>
      </c>
    </row>
    <row r="2258" spans="2:3" x14ac:dyDescent="0.3">
      <c r="B2258" s="134">
        <v>45418</v>
      </c>
      <c r="C2258" s="135">
        <v>22442.7</v>
      </c>
    </row>
    <row r="2259" spans="2:3" x14ac:dyDescent="0.3">
      <c r="B2259" s="134">
        <v>45419</v>
      </c>
      <c r="C2259" s="135">
        <v>22302.5</v>
      </c>
    </row>
    <row r="2260" spans="2:3" x14ac:dyDescent="0.3">
      <c r="B2260" s="134">
        <v>45420</v>
      </c>
      <c r="C2260" s="135">
        <v>22302.5</v>
      </c>
    </row>
    <row r="2261" spans="2:3" x14ac:dyDescent="0.3">
      <c r="B2261" s="134">
        <v>45421</v>
      </c>
      <c r="C2261" s="135">
        <v>21957.5</v>
      </c>
    </row>
    <row r="2262" spans="2:3" x14ac:dyDescent="0.3">
      <c r="B2262" s="134">
        <v>45422</v>
      </c>
      <c r="C2262" s="135">
        <v>22055.200000000001</v>
      </c>
    </row>
    <row r="2263" spans="2:3" x14ac:dyDescent="0.3">
      <c r="B2263" s="134">
        <v>45425</v>
      </c>
      <c r="C2263" s="135">
        <v>22104.05</v>
      </c>
    </row>
    <row r="2264" spans="2:3" x14ac:dyDescent="0.3">
      <c r="B2264" s="134">
        <v>45426</v>
      </c>
      <c r="C2264" s="135">
        <v>22217.85</v>
      </c>
    </row>
    <row r="2265" spans="2:3" x14ac:dyDescent="0.3">
      <c r="B2265" s="134">
        <v>45427</v>
      </c>
      <c r="C2265" s="135">
        <v>22200.55</v>
      </c>
    </row>
    <row r="2266" spans="2:3" x14ac:dyDescent="0.3">
      <c r="B2266" s="134">
        <v>45428</v>
      </c>
      <c r="C2266" s="135">
        <v>22403.85</v>
      </c>
    </row>
    <row r="2267" spans="2:3" x14ac:dyDescent="0.3">
      <c r="B2267" s="134">
        <v>45429</v>
      </c>
      <c r="C2267" s="135">
        <v>22466.1</v>
      </c>
    </row>
    <row r="2268" spans="2:3" x14ac:dyDescent="0.3">
      <c r="B2268" s="134">
        <v>45433</v>
      </c>
      <c r="C2268" s="135">
        <v>22529.05</v>
      </c>
    </row>
    <row r="2269" spans="2:3" x14ac:dyDescent="0.3">
      <c r="B2269" s="134">
        <v>45434</v>
      </c>
      <c r="C2269" s="135">
        <v>22597.8</v>
      </c>
    </row>
    <row r="2270" spans="2:3" x14ac:dyDescent="0.3">
      <c r="B2270" s="134">
        <v>45435</v>
      </c>
      <c r="C2270" s="135">
        <v>22967.65</v>
      </c>
    </row>
    <row r="2271" spans="2:3" x14ac:dyDescent="0.3">
      <c r="B2271" s="134">
        <v>45436</v>
      </c>
      <c r="C2271" s="135">
        <v>22957.1</v>
      </c>
    </row>
    <row r="2272" spans="2:3" x14ac:dyDescent="0.3">
      <c r="B2272" s="134">
        <v>45439</v>
      </c>
      <c r="C2272" s="135">
        <v>22932.45</v>
      </c>
    </row>
    <row r="2273" spans="2:3" x14ac:dyDescent="0.3">
      <c r="B2273" s="134">
        <v>45440</v>
      </c>
      <c r="C2273" s="135">
        <v>22888.15</v>
      </c>
    </row>
    <row r="2274" spans="2:3" x14ac:dyDescent="0.3">
      <c r="B2274" s="134">
        <v>45441</v>
      </c>
      <c r="C2274" s="135">
        <v>22704.7</v>
      </c>
    </row>
    <row r="2275" spans="2:3" x14ac:dyDescent="0.3">
      <c r="B2275" s="134">
        <v>45442</v>
      </c>
      <c r="C2275" s="135">
        <v>22488.65</v>
      </c>
    </row>
    <row r="2276" spans="2:3" x14ac:dyDescent="0.3">
      <c r="B2276" s="134">
        <v>45443</v>
      </c>
      <c r="C2276" s="135">
        <v>22530.7</v>
      </c>
    </row>
    <row r="2277" spans="2:3" x14ac:dyDescent="0.3">
      <c r="B2277" s="134">
        <v>45446</v>
      </c>
      <c r="C2277" s="135">
        <v>23263.9</v>
      </c>
    </row>
    <row r="2278" spans="2:3" x14ac:dyDescent="0.3">
      <c r="B2278" s="134">
        <v>45447</v>
      </c>
      <c r="C2278" s="135">
        <v>21884.5</v>
      </c>
    </row>
    <row r="2279" spans="2:3" x14ac:dyDescent="0.3">
      <c r="B2279" s="134">
        <v>45448</v>
      </c>
      <c r="C2279" s="135">
        <v>22620.35</v>
      </c>
    </row>
    <row r="2280" spans="2:3" x14ac:dyDescent="0.3">
      <c r="B2280" s="134">
        <v>45449</v>
      </c>
      <c r="C2280" s="135">
        <v>22821.4</v>
      </c>
    </row>
    <row r="2281" spans="2:3" x14ac:dyDescent="0.3">
      <c r="B2281" s="134">
        <v>45450</v>
      </c>
      <c r="C2281" s="135">
        <v>23290.15</v>
      </c>
    </row>
    <row r="2282" spans="2:3" x14ac:dyDescent="0.3">
      <c r="B2282" s="134">
        <v>45453</v>
      </c>
      <c r="C2282" s="135">
        <v>23259.200000000001</v>
      </c>
    </row>
    <row r="2283" spans="2:3" x14ac:dyDescent="0.3">
      <c r="B2283" s="134">
        <v>45454</v>
      </c>
      <c r="C2283" s="135">
        <v>23264.85</v>
      </c>
    </row>
    <row r="2284" spans="2:3" x14ac:dyDescent="0.3">
      <c r="B2284" s="134">
        <v>45455</v>
      </c>
      <c r="C2284" s="135">
        <v>23322.95</v>
      </c>
    </row>
    <row r="2285" spans="2:3" x14ac:dyDescent="0.3">
      <c r="B2285" s="134">
        <v>45456</v>
      </c>
      <c r="C2285" s="135">
        <v>23398.9</v>
      </c>
    </row>
    <row r="2286" spans="2:3" x14ac:dyDescent="0.3">
      <c r="B2286" s="134">
        <v>45457</v>
      </c>
      <c r="C2286" s="135">
        <v>23465.599999999999</v>
      </c>
    </row>
    <row r="2287" spans="2:3" x14ac:dyDescent="0.3">
      <c r="B2287" s="134">
        <v>45461</v>
      </c>
      <c r="C2287" s="135">
        <v>23557.9</v>
      </c>
    </row>
    <row r="2288" spans="2:3" x14ac:dyDescent="0.3">
      <c r="B2288" s="134">
        <v>45462</v>
      </c>
      <c r="C2288" s="135">
        <v>23516</v>
      </c>
    </row>
    <row r="2289" spans="2:3" x14ac:dyDescent="0.3">
      <c r="B2289" s="134">
        <v>45463</v>
      </c>
      <c r="C2289" s="135">
        <v>23567</v>
      </c>
    </row>
    <row r="2290" spans="2:3" x14ac:dyDescent="0.3">
      <c r="B2290" s="134">
        <v>45464</v>
      </c>
      <c r="C2290" s="135">
        <v>23501.1</v>
      </c>
    </row>
    <row r="2291" spans="2:3" x14ac:dyDescent="0.3">
      <c r="B2291" s="134">
        <v>45467</v>
      </c>
      <c r="C2291" s="135">
        <v>23537.85</v>
      </c>
    </row>
    <row r="2292" spans="2:3" x14ac:dyDescent="0.3">
      <c r="B2292" s="134">
        <v>45468</v>
      </c>
      <c r="C2292" s="135">
        <v>23721.3</v>
      </c>
    </row>
    <row r="2293" spans="2:3" x14ac:dyDescent="0.3">
      <c r="B2293" s="134">
        <v>45469</v>
      </c>
      <c r="C2293" s="135">
        <v>23868.799999999999</v>
      </c>
    </row>
    <row r="2294" spans="2:3" x14ac:dyDescent="0.3">
      <c r="B2294" s="134">
        <v>45470</v>
      </c>
      <c r="C2294" s="135">
        <v>24044.5</v>
      </c>
    </row>
    <row r="2295" spans="2:3" x14ac:dyDescent="0.3">
      <c r="B2295" s="134">
        <v>45471</v>
      </c>
      <c r="C2295" s="135">
        <v>24010.6</v>
      </c>
    </row>
    <row r="2296" spans="2:3" x14ac:dyDescent="0.3">
      <c r="B2296" s="134">
        <v>45474</v>
      </c>
      <c r="C2296" s="135">
        <v>24141.95</v>
      </c>
    </row>
    <row r="2297" spans="2:3" x14ac:dyDescent="0.3">
      <c r="B2297" s="134">
        <v>45475</v>
      </c>
      <c r="C2297" s="135">
        <v>24123.85</v>
      </c>
    </row>
    <row r="2298" spans="2:3" x14ac:dyDescent="0.3">
      <c r="B2298" s="134">
        <v>45476</v>
      </c>
      <c r="C2298" s="135">
        <v>24286.5</v>
      </c>
    </row>
    <row r="2299" spans="2:3" x14ac:dyDescent="0.3">
      <c r="B2299" s="134">
        <v>45477</v>
      </c>
      <c r="C2299" s="135">
        <v>24302.15</v>
      </c>
    </row>
    <row r="2300" spans="2:3" x14ac:dyDescent="0.3">
      <c r="B2300" s="134">
        <v>45478</v>
      </c>
      <c r="C2300" s="135">
        <v>24323.85</v>
      </c>
    </row>
    <row r="2301" spans="2:3" x14ac:dyDescent="0.3">
      <c r="B2301" s="134">
        <v>45481</v>
      </c>
      <c r="C2301" s="135">
        <v>24320.55</v>
      </c>
    </row>
    <row r="2302" spans="2:3" x14ac:dyDescent="0.3">
      <c r="B2302" s="134">
        <v>45482</v>
      </c>
      <c r="C2302" s="135">
        <v>24433.200000000001</v>
      </c>
    </row>
    <row r="2303" spans="2:3" x14ac:dyDescent="0.3">
      <c r="B2303" s="134">
        <v>45483</v>
      </c>
      <c r="C2303" s="135">
        <v>24324.45</v>
      </c>
    </row>
    <row r="2304" spans="2:3" x14ac:dyDescent="0.3">
      <c r="B2304" s="134">
        <v>45484</v>
      </c>
      <c r="C2304" s="135">
        <v>24315.95</v>
      </c>
    </row>
    <row r="2305" spans="2:3" x14ac:dyDescent="0.3">
      <c r="B2305" s="134">
        <v>45485</v>
      </c>
      <c r="C2305" s="135">
        <v>24502.15</v>
      </c>
    </row>
    <row r="2306" spans="2:3" x14ac:dyDescent="0.3">
      <c r="B2306" s="134">
        <v>45488</v>
      </c>
      <c r="C2306" s="135">
        <v>24586.7</v>
      </c>
    </row>
    <row r="2307" spans="2:3" x14ac:dyDescent="0.3">
      <c r="B2307" s="134">
        <v>45489</v>
      </c>
      <c r="C2307" s="135">
        <v>24613</v>
      </c>
    </row>
    <row r="2308" spans="2:3" x14ac:dyDescent="0.3">
      <c r="B2308" s="134">
        <v>45491</v>
      </c>
      <c r="C2308" s="135">
        <v>24800.85</v>
      </c>
    </row>
    <row r="2309" spans="2:3" x14ac:dyDescent="0.3">
      <c r="B2309" s="134">
        <v>45492</v>
      </c>
      <c r="C2309" s="135">
        <v>24530.9</v>
      </c>
    </row>
    <row r="2310" spans="2:3" x14ac:dyDescent="0.3">
      <c r="B2310" s="134">
        <v>45495</v>
      </c>
      <c r="C2310" s="135">
        <v>24509.25</v>
      </c>
    </row>
    <row r="2311" spans="2:3" x14ac:dyDescent="0.3">
      <c r="B2311" s="134">
        <v>45496</v>
      </c>
      <c r="C2311" s="135">
        <v>24479.05</v>
      </c>
    </row>
    <row r="2312" spans="2:3" x14ac:dyDescent="0.3">
      <c r="B2312" s="134">
        <v>45497</v>
      </c>
      <c r="C2312" s="135">
        <v>24413.5</v>
      </c>
    </row>
    <row r="2313" spans="2:3" x14ac:dyDescent="0.3">
      <c r="B2313" s="134">
        <v>45498</v>
      </c>
      <c r="C2313" s="135">
        <v>24406.1</v>
      </c>
    </row>
    <row r="2314" spans="2:3" x14ac:dyDescent="0.3">
      <c r="B2314" s="134">
        <v>45499</v>
      </c>
      <c r="C2314" s="135">
        <v>24834.85</v>
      </c>
    </row>
    <row r="2315" spans="2:3" x14ac:dyDescent="0.3">
      <c r="B2315" s="134">
        <v>45502</v>
      </c>
      <c r="C2315" s="135">
        <v>24836.1</v>
      </c>
    </row>
    <row r="2316" spans="2:3" x14ac:dyDescent="0.3">
      <c r="B2316" s="134">
        <v>45503</v>
      </c>
      <c r="C2316" s="135">
        <v>24857.3</v>
      </c>
    </row>
    <row r="2317" spans="2:3" x14ac:dyDescent="0.3">
      <c r="B2317" s="134">
        <v>45504</v>
      </c>
      <c r="C2317" s="135">
        <v>24951.15</v>
      </c>
    </row>
    <row r="2318" spans="2:3" x14ac:dyDescent="0.3">
      <c r="B2318" s="134">
        <v>45505</v>
      </c>
      <c r="C2318" s="135">
        <v>25010.9</v>
      </c>
    </row>
    <row r="2319" spans="2:3" x14ac:dyDescent="0.3">
      <c r="B2319" s="134">
        <v>45506</v>
      </c>
      <c r="C2319" s="135">
        <v>24717.7</v>
      </c>
    </row>
    <row r="2320" spans="2:3" x14ac:dyDescent="0.3">
      <c r="B2320" s="134">
        <v>45509</v>
      </c>
      <c r="C2320" s="135">
        <v>24055.599999999999</v>
      </c>
    </row>
    <row r="2321" spans="2:3" x14ac:dyDescent="0.3">
      <c r="B2321" s="134">
        <v>45510</v>
      </c>
      <c r="C2321" s="135">
        <v>23992.55</v>
      </c>
    </row>
    <row r="2322" spans="2:3" x14ac:dyDescent="0.3">
      <c r="B2322" s="134">
        <v>45511</v>
      </c>
      <c r="C2322" s="135">
        <v>24297.5</v>
      </c>
    </row>
    <row r="2323" spans="2:3" x14ac:dyDescent="0.3">
      <c r="B2323" s="134">
        <v>45512</v>
      </c>
      <c r="C2323" s="135">
        <v>24117</v>
      </c>
    </row>
    <row r="2324" spans="2:3" x14ac:dyDescent="0.3">
      <c r="B2324" s="134">
        <v>45513</v>
      </c>
      <c r="C2324" s="135">
        <v>24367.5</v>
      </c>
    </row>
    <row r="2325" spans="2:3" x14ac:dyDescent="0.3">
      <c r="B2325" s="134">
        <v>45516</v>
      </c>
      <c r="C2325" s="135">
        <v>24347</v>
      </c>
    </row>
    <row r="2326" spans="2:3" x14ac:dyDescent="0.3">
      <c r="B2326" s="134">
        <v>45517</v>
      </c>
      <c r="C2326" s="135">
        <v>24139</v>
      </c>
    </row>
    <row r="2327" spans="2:3" x14ac:dyDescent="0.3">
      <c r="B2327" s="134">
        <v>45518</v>
      </c>
      <c r="C2327" s="135">
        <v>24143.75</v>
      </c>
    </row>
    <row r="2328" spans="2:3" x14ac:dyDescent="0.3">
      <c r="B2328" s="134">
        <v>45520</v>
      </c>
      <c r="C2328" s="135">
        <v>24541.15</v>
      </c>
    </row>
    <row r="2329" spans="2:3" x14ac:dyDescent="0.3">
      <c r="B2329" s="134">
        <v>45523</v>
      </c>
      <c r="C2329" s="135">
        <v>24572.65</v>
      </c>
    </row>
    <row r="2330" spans="2:3" x14ac:dyDescent="0.3">
      <c r="B2330" s="134">
        <v>45524</v>
      </c>
      <c r="C2330" s="135">
        <v>24698.85</v>
      </c>
    </row>
    <row r="2331" spans="2:3" x14ac:dyDescent="0.3">
      <c r="B2331" s="134">
        <v>45525</v>
      </c>
      <c r="C2331" s="135">
        <v>24770.2</v>
      </c>
    </row>
    <row r="2332" spans="2:3" x14ac:dyDescent="0.3">
      <c r="B2332" s="134">
        <v>45526</v>
      </c>
      <c r="C2332" s="135">
        <v>24811.5</v>
      </c>
    </row>
    <row r="2333" spans="2:3" x14ac:dyDescent="0.3">
      <c r="B2333" s="134">
        <v>45527</v>
      </c>
      <c r="C2333" s="135">
        <v>24823.15</v>
      </c>
    </row>
    <row r="2334" spans="2:3" x14ac:dyDescent="0.3">
      <c r="B2334" s="134">
        <v>45530</v>
      </c>
      <c r="C2334" s="135">
        <v>25010.6</v>
      </c>
    </row>
    <row r="2335" spans="2:3" x14ac:dyDescent="0.3">
      <c r="B2335" s="134">
        <v>45531</v>
      </c>
      <c r="C2335" s="135">
        <v>25017.75</v>
      </c>
    </row>
    <row r="2336" spans="2:3" x14ac:dyDescent="0.3">
      <c r="B2336" s="134">
        <v>45532</v>
      </c>
      <c r="C2336" s="135">
        <v>25052.35</v>
      </c>
    </row>
    <row r="2337" spans="2:3" x14ac:dyDescent="0.3">
      <c r="B2337" s="134">
        <v>45533</v>
      </c>
      <c r="C2337" s="135">
        <v>25151.95</v>
      </c>
    </row>
    <row r="2338" spans="2:3" x14ac:dyDescent="0.3">
      <c r="B2338" s="134">
        <v>45534</v>
      </c>
      <c r="C2338" s="135">
        <v>25235.9</v>
      </c>
    </row>
    <row r="2339" spans="2:3" x14ac:dyDescent="0.3">
      <c r="B2339" s="134">
        <v>45537</v>
      </c>
      <c r="C2339" s="135">
        <v>25278.7</v>
      </c>
    </row>
    <row r="2340" spans="2:3" x14ac:dyDescent="0.3">
      <c r="B2340" s="134">
        <v>45538</v>
      </c>
      <c r="C2340" s="135">
        <v>25279.85</v>
      </c>
    </row>
    <row r="2341" spans="2:3" x14ac:dyDescent="0.3">
      <c r="B2341" s="134">
        <v>45539</v>
      </c>
      <c r="C2341" s="135">
        <v>25198.7</v>
      </c>
    </row>
    <row r="2342" spans="2:3" x14ac:dyDescent="0.3">
      <c r="B2342" s="134">
        <v>45540</v>
      </c>
      <c r="C2342" s="135">
        <v>25145.1</v>
      </c>
    </row>
    <row r="2343" spans="2:3" x14ac:dyDescent="0.3">
      <c r="B2343" s="134">
        <v>45541</v>
      </c>
      <c r="C2343" s="135">
        <v>24852.15</v>
      </c>
    </row>
    <row r="2344" spans="2:3" x14ac:dyDescent="0.3">
      <c r="B2344" s="134">
        <v>45544</v>
      </c>
      <c r="C2344" s="135">
        <v>24936.400000000001</v>
      </c>
    </row>
    <row r="2345" spans="2:3" x14ac:dyDescent="0.3">
      <c r="B2345" s="134">
        <v>45545</v>
      </c>
      <c r="C2345" s="135">
        <v>25041.1</v>
      </c>
    </row>
    <row r="2346" spans="2:3" x14ac:dyDescent="0.3">
      <c r="B2346" s="134">
        <v>45546</v>
      </c>
      <c r="C2346" s="135">
        <v>24918.45</v>
      </c>
    </row>
    <row r="2347" spans="2:3" x14ac:dyDescent="0.3">
      <c r="B2347" s="134">
        <v>45547</v>
      </c>
      <c r="C2347" s="135">
        <v>25388.9</v>
      </c>
    </row>
    <row r="2348" spans="2:3" x14ac:dyDescent="0.3">
      <c r="B2348" s="134">
        <v>45548</v>
      </c>
      <c r="C2348" s="135">
        <v>25356.5</v>
      </c>
    </row>
    <row r="2349" spans="2:3" x14ac:dyDescent="0.3">
      <c r="B2349" s="134">
        <v>45551</v>
      </c>
      <c r="C2349" s="135">
        <v>25383.75</v>
      </c>
    </row>
    <row r="2350" spans="2:3" x14ac:dyDescent="0.3">
      <c r="B2350" s="134">
        <v>45552</v>
      </c>
      <c r="C2350" s="135">
        <v>25418.55</v>
      </c>
    </row>
    <row r="2351" spans="2:3" x14ac:dyDescent="0.3">
      <c r="B2351" s="134">
        <v>45553</v>
      </c>
      <c r="C2351" s="135">
        <v>25377.55</v>
      </c>
    </row>
    <row r="2352" spans="2:3" x14ac:dyDescent="0.3">
      <c r="B2352" s="134">
        <v>45554</v>
      </c>
      <c r="C2352" s="135">
        <v>25415.8</v>
      </c>
    </row>
    <row r="2353" spans="2:3" x14ac:dyDescent="0.3">
      <c r="B2353" s="134">
        <v>45555</v>
      </c>
      <c r="C2353" s="135">
        <v>25790.95</v>
      </c>
    </row>
    <row r="2354" spans="2:3" x14ac:dyDescent="0.3">
      <c r="B2354" s="134">
        <v>45558</v>
      </c>
      <c r="C2354" s="135">
        <v>25939.05</v>
      </c>
    </row>
    <row r="2355" spans="2:3" x14ac:dyDescent="0.3">
      <c r="B2355" s="134">
        <v>45559</v>
      </c>
      <c r="C2355" s="135">
        <v>25940.400000000001</v>
      </c>
    </row>
    <row r="2356" spans="2:3" x14ac:dyDescent="0.3">
      <c r="B2356" s="134">
        <v>45560</v>
      </c>
      <c r="C2356" s="135">
        <v>26004.15</v>
      </c>
    </row>
    <row r="2357" spans="2:3" x14ac:dyDescent="0.3">
      <c r="B2357" s="134">
        <v>45561</v>
      </c>
      <c r="C2357" s="135">
        <v>26216.05</v>
      </c>
    </row>
    <row r="2358" spans="2:3" x14ac:dyDescent="0.3">
      <c r="B2358" s="134">
        <v>45562</v>
      </c>
      <c r="C2358" s="135">
        <v>26178.95</v>
      </c>
    </row>
    <row r="2359" spans="2:3" x14ac:dyDescent="0.3">
      <c r="B2359" s="134">
        <v>45565</v>
      </c>
      <c r="C2359" s="135">
        <v>25810.85</v>
      </c>
    </row>
    <row r="2360" spans="2:3" x14ac:dyDescent="0.3">
      <c r="B2360" s="134">
        <v>45566</v>
      </c>
      <c r="C2360" s="135">
        <v>25796.9</v>
      </c>
    </row>
    <row r="2361" spans="2:3" x14ac:dyDescent="0.3">
      <c r="B2361" s="134">
        <v>45568</v>
      </c>
      <c r="C2361" s="135">
        <v>25250.1</v>
      </c>
    </row>
    <row r="2362" spans="2:3" x14ac:dyDescent="0.3">
      <c r="B2362" s="134">
        <v>45569</v>
      </c>
      <c r="C2362" s="135">
        <v>25014.6</v>
      </c>
    </row>
    <row r="2363" spans="2:3" x14ac:dyDescent="0.3">
      <c r="B2363" s="134">
        <v>45572</v>
      </c>
      <c r="C2363" s="135">
        <v>24795.75</v>
      </c>
    </row>
    <row r="2364" spans="2:3" x14ac:dyDescent="0.3">
      <c r="B2364" s="134">
        <v>45573</v>
      </c>
      <c r="C2364" s="135">
        <v>25013.15</v>
      </c>
    </row>
    <row r="2365" spans="2:3" x14ac:dyDescent="0.3">
      <c r="B2365" s="134">
        <v>45574</v>
      </c>
      <c r="C2365" s="135">
        <v>24981.95</v>
      </c>
    </row>
    <row r="2366" spans="2:3" x14ac:dyDescent="0.3">
      <c r="B2366" s="134">
        <v>45575</v>
      </c>
      <c r="C2366" s="135">
        <v>24998.45</v>
      </c>
    </row>
    <row r="2367" spans="2:3" x14ac:dyDescent="0.3">
      <c r="B2367" s="134">
        <v>45576</v>
      </c>
      <c r="C2367" s="135">
        <v>24964.25</v>
      </c>
    </row>
    <row r="2368" spans="2:3" x14ac:dyDescent="0.3">
      <c r="B2368" s="134">
        <v>45579</v>
      </c>
      <c r="C2368" s="135">
        <v>25127.95</v>
      </c>
    </row>
    <row r="2369" spans="2:3" x14ac:dyDescent="0.3">
      <c r="B2369" s="134">
        <v>45580</v>
      </c>
      <c r="C2369" s="135">
        <v>25057.35</v>
      </c>
    </row>
    <row r="2370" spans="2:3" x14ac:dyDescent="0.3">
      <c r="B2370" s="134">
        <v>45581</v>
      </c>
      <c r="C2370" s="135">
        <v>24971.3</v>
      </c>
    </row>
    <row r="2371" spans="2:3" x14ac:dyDescent="0.3">
      <c r="B2371" s="134">
        <v>45582</v>
      </c>
      <c r="C2371" s="135">
        <v>24749.85</v>
      </c>
    </row>
    <row r="2372" spans="2:3" x14ac:dyDescent="0.3">
      <c r="B2372" s="134">
        <v>45583</v>
      </c>
      <c r="C2372" s="135">
        <v>24854.05</v>
      </c>
    </row>
    <row r="2373" spans="2:3" x14ac:dyDescent="0.3">
      <c r="B2373" s="134">
        <v>45586</v>
      </c>
      <c r="C2373" s="135">
        <v>24781.1</v>
      </c>
    </row>
    <row r="2374" spans="2:3" x14ac:dyDescent="0.3">
      <c r="B2374" s="134">
        <v>45587</v>
      </c>
      <c r="C2374" s="135">
        <v>24472.1</v>
      </c>
    </row>
    <row r="2375" spans="2:3" x14ac:dyDescent="0.3">
      <c r="B2375" s="134">
        <v>45588</v>
      </c>
      <c r="C2375" s="135">
        <v>24435.5</v>
      </c>
    </row>
    <row r="2376" spans="2:3" x14ac:dyDescent="0.3">
      <c r="B2376" s="134">
        <v>45589</v>
      </c>
      <c r="C2376" s="135">
        <v>24399.4</v>
      </c>
    </row>
    <row r="2377" spans="2:3" x14ac:dyDescent="0.3">
      <c r="B2377" s="134">
        <v>45590</v>
      </c>
      <c r="C2377" s="135">
        <v>24180.799999999999</v>
      </c>
    </row>
    <row r="2378" spans="2:3" x14ac:dyDescent="0.3">
      <c r="B2378" s="134">
        <v>45593</v>
      </c>
      <c r="C2378" s="135">
        <v>24339.15</v>
      </c>
    </row>
    <row r="2379" spans="2:3" x14ac:dyDescent="0.3">
      <c r="B2379" s="134">
        <v>45594</v>
      </c>
      <c r="C2379" s="135">
        <v>24466.85</v>
      </c>
    </row>
    <row r="2380" spans="2:3" x14ac:dyDescent="0.3">
      <c r="B2380" s="134">
        <v>45595</v>
      </c>
      <c r="C2380" s="135">
        <v>24340.85</v>
      </c>
    </row>
    <row r="2381" spans="2:3" x14ac:dyDescent="0.3">
      <c r="B2381" s="134">
        <v>45596</v>
      </c>
      <c r="C2381" s="135">
        <v>24205.35</v>
      </c>
    </row>
    <row r="2382" spans="2:3" x14ac:dyDescent="0.3">
      <c r="B2382" s="134">
        <v>45597</v>
      </c>
      <c r="C2382" s="135">
        <v>24304.35</v>
      </c>
    </row>
    <row r="2383" spans="2:3" x14ac:dyDescent="0.3">
      <c r="B2383" s="134">
        <v>45600</v>
      </c>
      <c r="C2383" s="135">
        <v>23995.35</v>
      </c>
    </row>
    <row r="2384" spans="2:3" x14ac:dyDescent="0.3">
      <c r="B2384" s="134">
        <v>45601</v>
      </c>
      <c r="C2384" s="135">
        <v>24213.3</v>
      </c>
    </row>
    <row r="2385" spans="2:3" x14ac:dyDescent="0.3">
      <c r="B2385" s="134">
        <v>45602</v>
      </c>
      <c r="C2385" s="135">
        <v>24484.05</v>
      </c>
    </row>
    <row r="2386" spans="2:3" x14ac:dyDescent="0.3">
      <c r="B2386" s="134">
        <v>45603</v>
      </c>
      <c r="C2386" s="135">
        <v>24199.35</v>
      </c>
    </row>
    <row r="2387" spans="2:3" x14ac:dyDescent="0.3">
      <c r="B2387" s="134">
        <v>45604</v>
      </c>
      <c r="C2387" s="135">
        <v>24148.2</v>
      </c>
    </row>
    <row r="2388" spans="2:3" x14ac:dyDescent="0.3">
      <c r="B2388" s="134">
        <v>45607</v>
      </c>
      <c r="C2388" s="135">
        <v>24141.3</v>
      </c>
    </row>
    <row r="2389" spans="2:3" x14ac:dyDescent="0.3">
      <c r="B2389" s="134">
        <v>45608</v>
      </c>
      <c r="C2389" s="135">
        <v>23883.45</v>
      </c>
    </row>
    <row r="2390" spans="2:3" x14ac:dyDescent="0.3">
      <c r="B2390" s="134">
        <v>45609</v>
      </c>
      <c r="C2390" s="135">
        <v>23559.05</v>
      </c>
    </row>
    <row r="2391" spans="2:3" x14ac:dyDescent="0.3">
      <c r="B2391" s="134">
        <v>45610</v>
      </c>
      <c r="C2391" s="135">
        <v>23532.7</v>
      </c>
    </row>
    <row r="2392" spans="2:3" x14ac:dyDescent="0.3">
      <c r="B2392" s="134">
        <v>45614</v>
      </c>
      <c r="C2392" s="135">
        <v>23453.8</v>
      </c>
    </row>
    <row r="2393" spans="2:3" x14ac:dyDescent="0.3">
      <c r="B2393" s="134">
        <v>45615</v>
      </c>
      <c r="C2393" s="135">
        <v>23518.5</v>
      </c>
    </row>
    <row r="2394" spans="2:3" x14ac:dyDescent="0.3">
      <c r="B2394" s="134">
        <v>45617</v>
      </c>
      <c r="C2394" s="135">
        <v>23349.9</v>
      </c>
    </row>
    <row r="2395" spans="2:3" x14ac:dyDescent="0.3">
      <c r="B2395" s="134">
        <v>45618</v>
      </c>
      <c r="C2395" s="135">
        <v>23907.25</v>
      </c>
    </row>
    <row r="2396" spans="2:3" x14ac:dyDescent="0.3">
      <c r="B2396" s="134">
        <v>45621</v>
      </c>
      <c r="C2396" s="135">
        <v>24221.9</v>
      </c>
    </row>
    <row r="2397" spans="2:3" x14ac:dyDescent="0.3">
      <c r="B2397" s="134">
        <v>45622</v>
      </c>
      <c r="C2397" s="135">
        <v>24194.5</v>
      </c>
    </row>
    <row r="2398" spans="2:3" x14ac:dyDescent="0.3">
      <c r="B2398" s="134">
        <v>45623</v>
      </c>
      <c r="C2398" s="135">
        <v>24274.9</v>
      </c>
    </row>
    <row r="2399" spans="2:3" x14ac:dyDescent="0.3">
      <c r="B2399" s="134">
        <v>45624</v>
      </c>
      <c r="C2399" s="135">
        <v>23914.15</v>
      </c>
    </row>
    <row r="2400" spans="2:3" x14ac:dyDescent="0.3">
      <c r="B2400" s="134">
        <v>45625</v>
      </c>
      <c r="C2400" s="135">
        <v>24131.1</v>
      </c>
    </row>
    <row r="2401" spans="2:3" x14ac:dyDescent="0.3">
      <c r="B2401" s="134">
        <v>45628</v>
      </c>
      <c r="C2401" s="135">
        <v>24276.05</v>
      </c>
    </row>
    <row r="2402" spans="2:3" x14ac:dyDescent="0.3">
      <c r="B2402" s="134">
        <v>45629</v>
      </c>
      <c r="C2402" s="135">
        <v>24457.15</v>
      </c>
    </row>
    <row r="2403" spans="2:3" x14ac:dyDescent="0.3">
      <c r="B2403" s="134">
        <v>45630</v>
      </c>
      <c r="C2403" s="135">
        <v>24467.45</v>
      </c>
    </row>
    <row r="2404" spans="2:3" x14ac:dyDescent="0.3">
      <c r="B2404" s="134">
        <v>45631</v>
      </c>
      <c r="C2404" s="135">
        <v>24708.400000000001</v>
      </c>
    </row>
    <row r="2405" spans="2:3" x14ac:dyDescent="0.3">
      <c r="B2405" s="134">
        <v>45632</v>
      </c>
      <c r="C2405" s="135">
        <v>24677.8</v>
      </c>
    </row>
    <row r="2406" spans="2:3" x14ac:dyDescent="0.3">
      <c r="B2406" s="134">
        <v>45635</v>
      </c>
      <c r="C2406" s="135">
        <v>24619</v>
      </c>
    </row>
    <row r="2407" spans="2:3" x14ac:dyDescent="0.3">
      <c r="B2407" s="134">
        <v>45636</v>
      </c>
      <c r="C2407" s="135">
        <v>24610.05</v>
      </c>
    </row>
    <row r="2408" spans="2:3" x14ac:dyDescent="0.3">
      <c r="B2408" s="134">
        <v>45637</v>
      </c>
      <c r="C2408" s="135">
        <v>24641.8</v>
      </c>
    </row>
    <row r="2409" spans="2:3" x14ac:dyDescent="0.3">
      <c r="B2409" s="134">
        <v>45638</v>
      </c>
      <c r="C2409" s="135">
        <v>24548.7</v>
      </c>
    </row>
    <row r="2410" spans="2:3" x14ac:dyDescent="0.3">
      <c r="B2410" s="134">
        <v>45639</v>
      </c>
      <c r="C2410" s="135">
        <v>24768.3</v>
      </c>
    </row>
    <row r="2411" spans="2:3" x14ac:dyDescent="0.3">
      <c r="B2411" s="134">
        <v>45642</v>
      </c>
      <c r="C2411" s="135">
        <v>24668.25</v>
      </c>
    </row>
    <row r="2412" spans="2:3" x14ac:dyDescent="0.3">
      <c r="B2412" s="134">
        <v>45643</v>
      </c>
      <c r="C2412" s="135">
        <v>24336</v>
      </c>
    </row>
    <row r="2413" spans="2:3" x14ac:dyDescent="0.3">
      <c r="B2413" s="134">
        <v>45644</v>
      </c>
      <c r="C2413" s="135">
        <v>24198.85</v>
      </c>
    </row>
    <row r="2414" spans="2:3" x14ac:dyDescent="0.3">
      <c r="B2414" s="134">
        <v>45645</v>
      </c>
      <c r="C2414" s="135">
        <v>23951.7</v>
      </c>
    </row>
    <row r="2415" spans="2:3" x14ac:dyDescent="0.3">
      <c r="B2415" s="134">
        <v>45646</v>
      </c>
      <c r="C2415" s="135">
        <v>23587.5</v>
      </c>
    </row>
    <row r="2416" spans="2:3" x14ac:dyDescent="0.3">
      <c r="B2416" s="134">
        <v>45649</v>
      </c>
      <c r="C2416" s="135">
        <v>23753.45</v>
      </c>
    </row>
    <row r="2417" spans="2:3" x14ac:dyDescent="0.3">
      <c r="B2417" s="134">
        <v>45650</v>
      </c>
      <c r="C2417" s="135">
        <v>23727.65</v>
      </c>
    </row>
    <row r="2418" spans="2:3" x14ac:dyDescent="0.3">
      <c r="B2418" s="134">
        <v>45652</v>
      </c>
      <c r="C2418" s="135">
        <v>23750.2</v>
      </c>
    </row>
    <row r="2419" spans="2:3" x14ac:dyDescent="0.3">
      <c r="B2419" s="134">
        <v>45653</v>
      </c>
      <c r="C2419" s="135">
        <v>23813.4</v>
      </c>
    </row>
    <row r="2420" spans="2:3" x14ac:dyDescent="0.3">
      <c r="B2420" s="134">
        <v>45656</v>
      </c>
      <c r="C2420" s="135">
        <v>23644.9</v>
      </c>
    </row>
    <row r="2421" spans="2:3" x14ac:dyDescent="0.3">
      <c r="B2421" s="134">
        <v>45657</v>
      </c>
      <c r="C2421" s="135">
        <v>23644.799999999999</v>
      </c>
    </row>
    <row r="2422" spans="2:3" x14ac:dyDescent="0.3">
      <c r="B2422" s="134">
        <v>45658</v>
      </c>
      <c r="C2422" s="135">
        <v>23742.9</v>
      </c>
    </row>
    <row r="2423" spans="2:3" x14ac:dyDescent="0.3">
      <c r="B2423" s="134">
        <v>45659</v>
      </c>
      <c r="C2423" s="135">
        <v>24188.65</v>
      </c>
    </row>
    <row r="2424" spans="2:3" x14ac:dyDescent="0.3">
      <c r="B2424" s="134">
        <v>45660</v>
      </c>
      <c r="C2424" s="135">
        <v>24004.75</v>
      </c>
    </row>
    <row r="2425" spans="2:3" x14ac:dyDescent="0.3">
      <c r="B2425" s="134">
        <v>45663</v>
      </c>
      <c r="C2425" s="135">
        <v>23616.05</v>
      </c>
    </row>
    <row r="2426" spans="2:3" x14ac:dyDescent="0.3">
      <c r="B2426" s="134">
        <v>45664</v>
      </c>
      <c r="C2426" s="135">
        <v>23707.9</v>
      </c>
    </row>
    <row r="2427" spans="2:3" x14ac:dyDescent="0.3">
      <c r="B2427" s="134">
        <v>45665</v>
      </c>
      <c r="C2427" s="135">
        <v>23688.95</v>
      </c>
    </row>
    <row r="2428" spans="2:3" x14ac:dyDescent="0.3">
      <c r="B2428" s="134">
        <v>45666</v>
      </c>
      <c r="C2428" s="135">
        <v>23526.5</v>
      </c>
    </row>
    <row r="2429" spans="2:3" x14ac:dyDescent="0.3">
      <c r="B2429" s="134">
        <v>45667</v>
      </c>
      <c r="C2429" s="135">
        <v>23431.5</v>
      </c>
    </row>
    <row r="2430" spans="2:3" x14ac:dyDescent="0.3">
      <c r="B2430" s="134">
        <v>45670</v>
      </c>
      <c r="C2430" s="135">
        <v>23085.95</v>
      </c>
    </row>
    <row r="2431" spans="2:3" x14ac:dyDescent="0.3">
      <c r="B2431" s="134">
        <v>45671</v>
      </c>
      <c r="C2431" s="135">
        <v>23176.05</v>
      </c>
    </row>
    <row r="2432" spans="2:3" x14ac:dyDescent="0.3">
      <c r="B2432" s="134">
        <v>45672</v>
      </c>
      <c r="C2432" s="135">
        <v>23213.200000000001</v>
      </c>
    </row>
    <row r="2433" spans="2:3" x14ac:dyDescent="0.3">
      <c r="B2433" s="134">
        <v>45673</v>
      </c>
      <c r="C2433" s="135">
        <v>23311.8</v>
      </c>
    </row>
    <row r="2434" spans="2:3" x14ac:dyDescent="0.3">
      <c r="B2434" s="134">
        <v>45674</v>
      </c>
      <c r="C2434" s="135">
        <v>23203.200000000001</v>
      </c>
    </row>
    <row r="2435" spans="2:3" x14ac:dyDescent="0.3">
      <c r="B2435" s="134">
        <v>45677</v>
      </c>
      <c r="C2435" s="135">
        <v>23344.75</v>
      </c>
    </row>
    <row r="2436" spans="2:3" x14ac:dyDescent="0.3">
      <c r="B2436" s="134">
        <v>45678</v>
      </c>
      <c r="C2436" s="135">
        <v>23024.65</v>
      </c>
    </row>
    <row r="2437" spans="2:3" x14ac:dyDescent="0.3">
      <c r="B2437" s="134">
        <v>45679</v>
      </c>
      <c r="C2437" s="135">
        <v>23155.35</v>
      </c>
    </row>
    <row r="2438" spans="2:3" x14ac:dyDescent="0.3">
      <c r="B2438" s="134">
        <v>45680</v>
      </c>
      <c r="C2438" s="135">
        <v>23205.35</v>
      </c>
    </row>
    <row r="2439" spans="2:3" x14ac:dyDescent="0.3">
      <c r="B2439" s="134">
        <v>45681</v>
      </c>
      <c r="C2439" s="135">
        <v>23092.2</v>
      </c>
    </row>
    <row r="2440" spans="2:3" x14ac:dyDescent="0.3">
      <c r="B2440" s="134">
        <v>45684</v>
      </c>
      <c r="C2440" s="135">
        <v>22829.15</v>
      </c>
    </row>
    <row r="2441" spans="2:3" x14ac:dyDescent="0.3">
      <c r="B2441" s="134">
        <v>45685</v>
      </c>
      <c r="C2441" s="135">
        <v>22957.25</v>
      </c>
    </row>
    <row r="2442" spans="2:3" x14ac:dyDescent="0.3">
      <c r="B2442" s="134">
        <v>45686</v>
      </c>
      <c r="C2442" s="135">
        <v>23163.1</v>
      </c>
    </row>
    <row r="2443" spans="2:3" x14ac:dyDescent="0.3">
      <c r="B2443" s="134">
        <v>45687</v>
      </c>
      <c r="C2443" s="135">
        <v>23249.5</v>
      </c>
    </row>
    <row r="2444" spans="2:3" x14ac:dyDescent="0.3">
      <c r="B2444" s="134">
        <v>45688</v>
      </c>
      <c r="C2444" s="135">
        <v>23508.400000000001</v>
      </c>
    </row>
    <row r="2445" spans="2:3" x14ac:dyDescent="0.3">
      <c r="B2445" s="134">
        <v>45689</v>
      </c>
      <c r="C2445" s="135">
        <v>23482.15</v>
      </c>
    </row>
    <row r="2446" spans="2:3" x14ac:dyDescent="0.3">
      <c r="B2446" s="134">
        <v>45691</v>
      </c>
      <c r="C2446" s="135">
        <v>23361.05</v>
      </c>
    </row>
    <row r="2447" spans="2:3" x14ac:dyDescent="0.3">
      <c r="B2447" s="134">
        <v>45692</v>
      </c>
      <c r="C2447" s="135">
        <v>23739.25</v>
      </c>
    </row>
    <row r="2448" spans="2:3" x14ac:dyDescent="0.3">
      <c r="B2448" s="134">
        <v>45693</v>
      </c>
      <c r="C2448" s="135">
        <v>23696.3</v>
      </c>
    </row>
    <row r="2449" spans="2:3" x14ac:dyDescent="0.3">
      <c r="B2449" s="134">
        <v>45694</v>
      </c>
      <c r="C2449" s="135">
        <v>23603.35</v>
      </c>
    </row>
    <row r="2450" spans="2:3" x14ac:dyDescent="0.3">
      <c r="B2450" s="134">
        <v>45695</v>
      </c>
      <c r="C2450" s="135">
        <v>23559.95</v>
      </c>
    </row>
    <row r="2451" spans="2:3" x14ac:dyDescent="0.3">
      <c r="B2451" s="134">
        <v>45698</v>
      </c>
      <c r="C2451" s="135">
        <v>23381.599999999999</v>
      </c>
    </row>
    <row r="2452" spans="2:3" x14ac:dyDescent="0.3">
      <c r="B2452" s="134">
        <v>45699</v>
      </c>
      <c r="C2452" s="135">
        <v>23071.8</v>
      </c>
    </row>
    <row r="2453" spans="2:3" x14ac:dyDescent="0.3">
      <c r="B2453" s="134">
        <v>45700</v>
      </c>
      <c r="C2453" s="135">
        <v>23045.25</v>
      </c>
    </row>
    <row r="2454" spans="2:3" x14ac:dyDescent="0.3">
      <c r="B2454" s="134">
        <v>45701</v>
      </c>
      <c r="C2454" s="135">
        <v>23031.4</v>
      </c>
    </row>
    <row r="2455" spans="2:3" x14ac:dyDescent="0.3">
      <c r="B2455" s="134">
        <v>45702</v>
      </c>
      <c r="C2455" s="135">
        <v>22929.25</v>
      </c>
    </row>
    <row r="2456" spans="2:3" x14ac:dyDescent="0.3">
      <c r="B2456" s="134">
        <v>45705</v>
      </c>
      <c r="C2456" s="135">
        <v>22959.5</v>
      </c>
    </row>
    <row r="2457" spans="2:3" x14ac:dyDescent="0.3">
      <c r="B2457" s="134">
        <v>45706</v>
      </c>
      <c r="C2457" s="135">
        <v>22945.3</v>
      </c>
    </row>
    <row r="2458" spans="2:3" x14ac:dyDescent="0.3">
      <c r="B2458" s="134">
        <v>45707</v>
      </c>
      <c r="C2458" s="135">
        <v>22932.9</v>
      </c>
    </row>
    <row r="2459" spans="2:3" x14ac:dyDescent="0.3">
      <c r="B2459" s="134">
        <v>45708</v>
      </c>
      <c r="C2459" s="135">
        <v>22913.15</v>
      </c>
    </row>
    <row r="2460" spans="2:3" x14ac:dyDescent="0.3">
      <c r="B2460" s="134">
        <v>45709</v>
      </c>
      <c r="C2460" s="135">
        <v>22795.9</v>
      </c>
    </row>
    <row r="2461" spans="2:3" x14ac:dyDescent="0.3">
      <c r="B2461" s="134">
        <v>45712</v>
      </c>
      <c r="C2461" s="135">
        <v>22553.35</v>
      </c>
    </row>
    <row r="2462" spans="2:3" x14ac:dyDescent="0.3">
      <c r="B2462" s="134">
        <v>45713</v>
      </c>
      <c r="C2462" s="135">
        <v>22547.55</v>
      </c>
    </row>
    <row r="2463" spans="2:3" x14ac:dyDescent="0.3">
      <c r="B2463" s="134">
        <v>45715</v>
      </c>
      <c r="C2463" s="135">
        <v>22545.05</v>
      </c>
    </row>
    <row r="2464" spans="2:3" x14ac:dyDescent="0.3">
      <c r="B2464" s="134">
        <v>45716</v>
      </c>
      <c r="C2464" s="135">
        <v>22124.7</v>
      </c>
    </row>
    <row r="2465" spans="2:3" x14ac:dyDescent="0.3">
      <c r="B2465" s="134">
        <v>45719</v>
      </c>
      <c r="C2465" s="135">
        <v>22119.3</v>
      </c>
    </row>
    <row r="2466" spans="2:3" x14ac:dyDescent="0.3">
      <c r="B2466" s="134">
        <v>45720</v>
      </c>
      <c r="C2466" s="135">
        <v>22082.65</v>
      </c>
    </row>
    <row r="2467" spans="2:3" x14ac:dyDescent="0.3">
      <c r="B2467" s="134">
        <v>45721</v>
      </c>
      <c r="C2467" s="135">
        <v>22337.3</v>
      </c>
    </row>
    <row r="2468" spans="2:3" x14ac:dyDescent="0.3">
      <c r="B2468" s="134">
        <v>45722</v>
      </c>
      <c r="C2468" s="135">
        <v>22544.7</v>
      </c>
    </row>
    <row r="2469" spans="2:3" x14ac:dyDescent="0.3">
      <c r="B2469" s="134">
        <v>45723</v>
      </c>
      <c r="C2469" s="135">
        <v>22552.5</v>
      </c>
    </row>
    <row r="2470" spans="2:3" x14ac:dyDescent="0.3">
      <c r="B2470" s="134">
        <v>45726</v>
      </c>
      <c r="C2470" s="135">
        <v>22460.3</v>
      </c>
    </row>
    <row r="2471" spans="2:3" x14ac:dyDescent="0.3">
      <c r="B2471" s="134">
        <v>45727</v>
      </c>
      <c r="C2471" s="135">
        <v>22497.9</v>
      </c>
    </row>
    <row r="2472" spans="2:3" x14ac:dyDescent="0.3">
      <c r="B2472" s="134">
        <v>45728</v>
      </c>
      <c r="C2472" s="135">
        <v>22470.5</v>
      </c>
    </row>
    <row r="2473" spans="2:3" x14ac:dyDescent="0.3">
      <c r="B2473" s="134">
        <v>45729</v>
      </c>
      <c r="C2473" s="135">
        <v>22397.200000000001</v>
      </c>
    </row>
    <row r="2474" spans="2:3" x14ac:dyDescent="0.3">
      <c r="B2474" s="134">
        <v>45733</v>
      </c>
      <c r="C2474" s="135">
        <v>22508.75</v>
      </c>
    </row>
    <row r="2475" spans="2:3" x14ac:dyDescent="0.3">
      <c r="B2475" s="134">
        <v>45734</v>
      </c>
      <c r="C2475" s="135">
        <v>22834.3</v>
      </c>
    </row>
    <row r="2476" spans="2:3" x14ac:dyDescent="0.3">
      <c r="B2476" s="134">
        <v>45735</v>
      </c>
      <c r="C2476" s="135">
        <v>22907.599999999999</v>
      </c>
    </row>
    <row r="2477" spans="2:3" x14ac:dyDescent="0.3">
      <c r="B2477" s="134">
        <v>45736</v>
      </c>
      <c r="C2477" s="135">
        <v>23190.65</v>
      </c>
    </row>
    <row r="2478" spans="2:3" x14ac:dyDescent="0.3">
      <c r="B2478" s="134">
        <v>45737</v>
      </c>
      <c r="C2478" s="135">
        <v>23350.400000000001</v>
      </c>
    </row>
    <row r="2479" spans="2:3" x14ac:dyDescent="0.3">
      <c r="B2479" s="134">
        <v>45740</v>
      </c>
      <c r="C2479" s="135">
        <v>23658.35</v>
      </c>
    </row>
    <row r="2480" spans="2:3" x14ac:dyDescent="0.3">
      <c r="B2480" s="134">
        <v>45741</v>
      </c>
      <c r="C2480" s="135">
        <v>23668.65</v>
      </c>
    </row>
    <row r="2481" spans="2:3" x14ac:dyDescent="0.3">
      <c r="B2481" s="134">
        <v>45742</v>
      </c>
      <c r="C2481" s="135">
        <v>23486.85</v>
      </c>
    </row>
    <row r="2482" spans="2:3" x14ac:dyDescent="0.3">
      <c r="B2482" s="134">
        <v>45743</v>
      </c>
      <c r="C2482" s="135">
        <v>23591.95</v>
      </c>
    </row>
    <row r="2483" spans="2:3" x14ac:dyDescent="0.3">
      <c r="B2483" s="134">
        <v>45744</v>
      </c>
      <c r="C2483" s="135">
        <v>23519.35</v>
      </c>
    </row>
    <row r="2484" spans="2:3" x14ac:dyDescent="0.3">
      <c r="B2484" s="134">
        <v>45748</v>
      </c>
      <c r="C2484" s="135">
        <v>23165.7</v>
      </c>
    </row>
    <row r="2485" spans="2:3" x14ac:dyDescent="0.3">
      <c r="B2485" s="134">
        <v>45749</v>
      </c>
      <c r="C2485" s="135">
        <v>23332.35</v>
      </c>
    </row>
    <row r="2486" spans="2:3" x14ac:dyDescent="0.3">
      <c r="B2486" s="134">
        <v>45750</v>
      </c>
      <c r="C2486" s="135">
        <v>23250.1</v>
      </c>
    </row>
    <row r="2487" spans="2:3" x14ac:dyDescent="0.3">
      <c r="B2487" s="134">
        <v>45751</v>
      </c>
      <c r="C2487" s="135">
        <v>22904.45</v>
      </c>
    </row>
    <row r="2488" spans="2:3" x14ac:dyDescent="0.3">
      <c r="B2488" s="134">
        <v>45754</v>
      </c>
      <c r="C2488" s="135">
        <v>22161.599999999999</v>
      </c>
    </row>
    <row r="2489" spans="2:3" x14ac:dyDescent="0.3">
      <c r="B2489" s="134">
        <v>45755</v>
      </c>
      <c r="C2489" s="135">
        <v>22535.85</v>
      </c>
    </row>
    <row r="2490" spans="2:3" x14ac:dyDescent="0.3">
      <c r="B2490" s="134">
        <v>45756</v>
      </c>
      <c r="C2490" s="135">
        <v>22399.15</v>
      </c>
    </row>
    <row r="2491" spans="2:3" x14ac:dyDescent="0.3">
      <c r="B2491" s="134">
        <v>45758</v>
      </c>
      <c r="C2491" s="135">
        <v>22828.55</v>
      </c>
    </row>
    <row r="2492" spans="2:3" x14ac:dyDescent="0.3">
      <c r="B2492" s="134">
        <v>45762</v>
      </c>
      <c r="C2492" s="135">
        <v>23328.55</v>
      </c>
    </row>
    <row r="2493" spans="2:3" x14ac:dyDescent="0.3">
      <c r="B2493" s="134">
        <v>45763</v>
      </c>
      <c r="C2493" s="135">
        <v>23437.200000000001</v>
      </c>
    </row>
    <row r="2494" spans="2:3" x14ac:dyDescent="0.3">
      <c r="B2494" s="134">
        <v>45764</v>
      </c>
      <c r="C2494" s="135">
        <v>23851.65</v>
      </c>
    </row>
    <row r="2495" spans="2:3" x14ac:dyDescent="0.3">
      <c r="B2495" s="134">
        <v>45768</v>
      </c>
      <c r="C2495" s="135">
        <v>24125.55</v>
      </c>
    </row>
    <row r="2496" spans="2:3" x14ac:dyDescent="0.3">
      <c r="B2496" s="134">
        <v>45769</v>
      </c>
      <c r="C2496" s="135">
        <v>24167.25</v>
      </c>
    </row>
    <row r="2497" spans="2:3" x14ac:dyDescent="0.3">
      <c r="B2497" s="134">
        <v>45770</v>
      </c>
      <c r="C2497" s="135">
        <v>24328.95</v>
      </c>
    </row>
    <row r="2498" spans="2:3" x14ac:dyDescent="0.3">
      <c r="B2498" s="134">
        <v>45771</v>
      </c>
      <c r="C2498" s="135">
        <v>24246.7</v>
      </c>
    </row>
    <row r="2499" spans="2:3" x14ac:dyDescent="0.3">
      <c r="B2499" s="134">
        <v>45772</v>
      </c>
      <c r="C2499" s="135">
        <v>24039.35</v>
      </c>
    </row>
    <row r="2500" spans="2:3" x14ac:dyDescent="0.3">
      <c r="B2500" s="134">
        <v>45775</v>
      </c>
      <c r="C2500" s="135">
        <v>24328.5</v>
      </c>
    </row>
    <row r="2501" spans="2:3" x14ac:dyDescent="0.3">
      <c r="B2501" s="134">
        <v>45776</v>
      </c>
      <c r="C2501" s="135">
        <v>24335.95</v>
      </c>
    </row>
    <row r="2502" spans="2:3" x14ac:dyDescent="0.3">
      <c r="B2502" s="134">
        <v>45777</v>
      </c>
      <c r="C2502" s="135">
        <v>24334.2</v>
      </c>
    </row>
    <row r="2503" spans="2:3" x14ac:dyDescent="0.3">
      <c r="B2503" s="134">
        <v>45779</v>
      </c>
      <c r="C2503" s="135">
        <v>24346.7</v>
      </c>
    </row>
    <row r="2504" spans="2:3" x14ac:dyDescent="0.3">
      <c r="B2504" s="134">
        <v>45782</v>
      </c>
      <c r="C2504" s="135">
        <v>24461.15</v>
      </c>
    </row>
    <row r="2505" spans="2:3" x14ac:dyDescent="0.3">
      <c r="B2505" s="134">
        <v>45783</v>
      </c>
      <c r="C2505" s="135">
        <v>24379.599999999999</v>
      </c>
    </row>
    <row r="2506" spans="2:3" x14ac:dyDescent="0.3">
      <c r="B2506" s="134">
        <v>45784</v>
      </c>
      <c r="C2506" s="135">
        <v>24414.400000000001</v>
      </c>
    </row>
    <row r="2507" spans="2:3" x14ac:dyDescent="0.3">
      <c r="B2507" s="134">
        <v>45785</v>
      </c>
      <c r="C2507" s="135">
        <v>24273.8</v>
      </c>
    </row>
    <row r="2508" spans="2:3" x14ac:dyDescent="0.3">
      <c r="B2508" s="134">
        <v>45786</v>
      </c>
      <c r="C2508" s="135">
        <v>24008</v>
      </c>
    </row>
    <row r="2509" spans="2:3" x14ac:dyDescent="0.3">
      <c r="B2509" s="134">
        <v>45789</v>
      </c>
      <c r="C2509" s="135">
        <v>24924.7</v>
      </c>
    </row>
    <row r="2510" spans="2:3" x14ac:dyDescent="0.3">
      <c r="B2510" s="134">
        <v>45790</v>
      </c>
      <c r="C2510" s="135">
        <v>24578.35</v>
      </c>
    </row>
    <row r="2511" spans="2:3" x14ac:dyDescent="0.3">
      <c r="B2511" s="134">
        <v>45791</v>
      </c>
      <c r="C2511" s="135">
        <v>24666.9</v>
      </c>
    </row>
    <row r="2512" spans="2:3" x14ac:dyDescent="0.3">
      <c r="B2512" s="134">
        <v>45792</v>
      </c>
      <c r="C2512" s="135">
        <v>25062.1</v>
      </c>
    </row>
    <row r="2513" spans="2:3" x14ac:dyDescent="0.3">
      <c r="B2513" s="134">
        <v>45793</v>
      </c>
      <c r="C2513" s="135">
        <v>25019.8</v>
      </c>
    </row>
    <row r="2514" spans="2:3" x14ac:dyDescent="0.3">
      <c r="B2514" s="134">
        <v>45796</v>
      </c>
      <c r="C2514" s="135">
        <v>24945.45</v>
      </c>
    </row>
    <row r="2515" spans="2:3" x14ac:dyDescent="0.3">
      <c r="B2515" s="134">
        <v>45797</v>
      </c>
      <c r="C2515" s="135">
        <v>24683.9</v>
      </c>
    </row>
    <row r="2516" spans="2:3" x14ac:dyDescent="0.3">
      <c r="B2516" s="134">
        <v>45798</v>
      </c>
      <c r="C2516" s="135">
        <v>24813.45</v>
      </c>
    </row>
    <row r="2517" spans="2:3" x14ac:dyDescent="0.3">
      <c r="B2517" s="134">
        <v>45799</v>
      </c>
      <c r="C2517" s="135">
        <v>24609.7</v>
      </c>
    </row>
    <row r="2518" spans="2:3" x14ac:dyDescent="0.3">
      <c r="B2518" s="134">
        <v>45800</v>
      </c>
      <c r="C2518" s="135">
        <v>24853.15</v>
      </c>
    </row>
    <row r="2519" spans="2:3" x14ac:dyDescent="0.3">
      <c r="B2519" s="134">
        <v>45803</v>
      </c>
      <c r="C2519" s="135">
        <v>25001.15</v>
      </c>
    </row>
    <row r="2520" spans="2:3" x14ac:dyDescent="0.3">
      <c r="B2520" s="134">
        <v>45804</v>
      </c>
      <c r="C2520" s="135">
        <v>24826.2</v>
      </c>
    </row>
    <row r="2521" spans="2:3" x14ac:dyDescent="0.3">
      <c r="B2521" s="134">
        <v>45805</v>
      </c>
      <c r="C2521" s="135">
        <v>24752.45</v>
      </c>
    </row>
    <row r="2522" spans="2:3" x14ac:dyDescent="0.3">
      <c r="B2522" s="134">
        <v>45806</v>
      </c>
      <c r="C2522" s="135">
        <v>24833.599999999999</v>
      </c>
    </row>
    <row r="2523" spans="2:3" x14ac:dyDescent="0.3">
      <c r="B2523" s="134">
        <v>45807</v>
      </c>
      <c r="C2523" s="135">
        <v>24750.7</v>
      </c>
    </row>
    <row r="2524" spans="2:3" x14ac:dyDescent="0.3">
      <c r="B2524" s="134">
        <v>45810</v>
      </c>
      <c r="C2524" s="135">
        <v>24716.6</v>
      </c>
    </row>
    <row r="2525" spans="2:3" x14ac:dyDescent="0.3">
      <c r="B2525" s="134">
        <v>45811</v>
      </c>
      <c r="C2525" s="135">
        <v>24542.5</v>
      </c>
    </row>
    <row r="2526" spans="2:3" x14ac:dyDescent="0.3">
      <c r="B2526" s="134">
        <v>45812</v>
      </c>
      <c r="C2526" s="135">
        <v>24620.2</v>
      </c>
    </row>
    <row r="2527" spans="2:3" x14ac:dyDescent="0.3">
      <c r="B2527" s="134">
        <v>45813</v>
      </c>
      <c r="C2527" s="135">
        <v>24750.9</v>
      </c>
    </row>
    <row r="2528" spans="2:3" x14ac:dyDescent="0.3">
      <c r="B2528" s="134">
        <v>45814</v>
      </c>
      <c r="C2528" s="135">
        <v>25003.05</v>
      </c>
    </row>
    <row r="2529" spans="2:3" x14ac:dyDescent="0.3">
      <c r="B2529" s="134">
        <v>45817</v>
      </c>
      <c r="C2529" s="135">
        <v>25103.200000000001</v>
      </c>
    </row>
    <row r="2530" spans="2:3" x14ac:dyDescent="0.3">
      <c r="B2530" s="134">
        <v>45818</v>
      </c>
      <c r="C2530" s="135">
        <v>25104.25</v>
      </c>
    </row>
    <row r="2531" spans="2:3" x14ac:dyDescent="0.3">
      <c r="B2531" s="134">
        <v>45819</v>
      </c>
      <c r="C2531" s="135">
        <v>25141.4</v>
      </c>
    </row>
    <row r="2532" spans="2:3" x14ac:dyDescent="0.3">
      <c r="B2532" s="134">
        <v>45820</v>
      </c>
      <c r="C2532" s="135">
        <v>24888.2</v>
      </c>
    </row>
    <row r="2533" spans="2:3" x14ac:dyDescent="0.3">
      <c r="B2533" s="134">
        <v>45821</v>
      </c>
      <c r="C2533" s="135">
        <v>24718.6</v>
      </c>
    </row>
    <row r="2534" spans="2:3" x14ac:dyDescent="0.3">
      <c r="B2534" s="134">
        <v>45824</v>
      </c>
      <c r="C2534" s="135">
        <v>24946.5</v>
      </c>
    </row>
    <row r="2535" spans="2:3" x14ac:dyDescent="0.3">
      <c r="B2535" s="134">
        <v>45825</v>
      </c>
      <c r="C2535" s="135">
        <v>24853.4</v>
      </c>
    </row>
    <row r="2536" spans="2:3" x14ac:dyDescent="0.3">
      <c r="B2536" s="134">
        <v>45826</v>
      </c>
      <c r="C2536" s="135">
        <v>24812.05</v>
      </c>
    </row>
    <row r="2537" spans="2:3" x14ac:dyDescent="0.3">
      <c r="B2537" s="134">
        <v>45827</v>
      </c>
      <c r="C2537" s="135">
        <v>24793.25</v>
      </c>
    </row>
    <row r="2538" spans="2:3" x14ac:dyDescent="0.3">
      <c r="B2538" s="134">
        <v>45828</v>
      </c>
      <c r="C2538" s="135">
        <v>25112.400000000001</v>
      </c>
    </row>
    <row r="2539" spans="2:3" x14ac:dyDescent="0.3">
      <c r="B2539" s="134">
        <v>45831</v>
      </c>
      <c r="C2539" s="135">
        <v>24971.9</v>
      </c>
    </row>
    <row r="2540" spans="2:3" x14ac:dyDescent="0.3">
      <c r="B2540" s="134">
        <v>45832</v>
      </c>
      <c r="C2540" s="135">
        <v>25044.35</v>
      </c>
    </row>
    <row r="2541" spans="2:3" x14ac:dyDescent="0.3">
      <c r="B2541" s="134">
        <v>45833</v>
      </c>
      <c r="C2541" s="135">
        <v>25244.75</v>
      </c>
    </row>
    <row r="2542" spans="2:3" x14ac:dyDescent="0.3">
      <c r="B2542" s="134">
        <v>45834</v>
      </c>
      <c r="C2542" s="135">
        <v>25549</v>
      </c>
    </row>
    <row r="2543" spans="2:3" x14ac:dyDescent="0.3">
      <c r="B2543" s="134">
        <v>45835</v>
      </c>
      <c r="C2543" s="135">
        <v>25637.8</v>
      </c>
    </row>
    <row r="2544" spans="2:3" x14ac:dyDescent="0.3">
      <c r="B2544" s="134">
        <v>45838</v>
      </c>
      <c r="C2544" s="135">
        <v>25517.05</v>
      </c>
    </row>
    <row r="2545" spans="2:3" x14ac:dyDescent="0.3">
      <c r="B2545" s="134">
        <v>45839</v>
      </c>
      <c r="C2545" s="135">
        <v>25541.8</v>
      </c>
    </row>
    <row r="2546" spans="2:3" x14ac:dyDescent="0.3">
      <c r="B2546" s="134">
        <v>45840</v>
      </c>
      <c r="C2546" s="135">
        <v>25453.4</v>
      </c>
    </row>
    <row r="2547" spans="2:3" x14ac:dyDescent="0.3">
      <c r="B2547" s="134">
        <v>45841</v>
      </c>
      <c r="C2547" s="135">
        <v>25405.3</v>
      </c>
    </row>
    <row r="2548" spans="2:3" x14ac:dyDescent="0.3">
      <c r="B2548" s="134">
        <v>45842</v>
      </c>
      <c r="C2548" s="135">
        <v>25461</v>
      </c>
    </row>
    <row r="2549" spans="2:3" x14ac:dyDescent="0.3">
      <c r="B2549" s="134">
        <v>45845</v>
      </c>
      <c r="C2549" s="135">
        <v>25461.3</v>
      </c>
    </row>
    <row r="2550" spans="2:3" x14ac:dyDescent="0.3">
      <c r="B2550" s="134">
        <v>45846</v>
      </c>
      <c r="C2550" s="135">
        <v>25522.5</v>
      </c>
    </row>
    <row r="2551" spans="2:3" x14ac:dyDescent="0.3">
      <c r="B2551" s="134">
        <v>45847</v>
      </c>
      <c r="C2551" s="135">
        <v>25476.1</v>
      </c>
    </row>
    <row r="2552" spans="2:3" x14ac:dyDescent="0.3">
      <c r="B2552" s="134">
        <v>45848</v>
      </c>
      <c r="C2552" s="135">
        <v>25355.25</v>
      </c>
    </row>
    <row r="2553" spans="2:3" x14ac:dyDescent="0.3">
      <c r="B2553" s="134">
        <v>45849</v>
      </c>
      <c r="C2553" s="135">
        <v>25149.85</v>
      </c>
    </row>
    <row r="2554" spans="2:3" x14ac:dyDescent="0.3">
      <c r="B2554" s="134">
        <v>45852</v>
      </c>
      <c r="C2554" s="135">
        <v>25082.3</v>
      </c>
    </row>
    <row r="2555" spans="2:3" x14ac:dyDescent="0.3">
      <c r="B2555" s="134">
        <v>45853</v>
      </c>
      <c r="C2555" s="135">
        <v>25195.8</v>
      </c>
    </row>
    <row r="2556" spans="2:3" x14ac:dyDescent="0.3">
      <c r="B2556" s="134">
        <v>45854</v>
      </c>
      <c r="C2556" s="135">
        <v>25212.05</v>
      </c>
    </row>
    <row r="2557" spans="2:3" x14ac:dyDescent="0.3">
      <c r="B2557" s="134">
        <v>45855</v>
      </c>
      <c r="C2557" s="135">
        <v>25111.45</v>
      </c>
    </row>
    <row r="2558" spans="2:3" x14ac:dyDescent="0.3">
      <c r="B2558" s="134">
        <v>45856</v>
      </c>
      <c r="C2558" s="135">
        <v>24968.400000000001</v>
      </c>
    </row>
    <row r="2559" spans="2:3" x14ac:dyDescent="0.3">
      <c r="B2559" s="134">
        <v>45859</v>
      </c>
      <c r="C2559" s="135">
        <v>25090.7</v>
      </c>
    </row>
    <row r="2560" spans="2:3" x14ac:dyDescent="0.3">
      <c r="B2560" s="134">
        <v>45860</v>
      </c>
      <c r="C2560" s="135">
        <v>25060.9</v>
      </c>
    </row>
    <row r="2561" spans="2:3" x14ac:dyDescent="0.3">
      <c r="B2561" s="134">
        <v>45861</v>
      </c>
      <c r="C2561" s="135">
        <v>25219.9</v>
      </c>
    </row>
    <row r="2562" spans="2:3" x14ac:dyDescent="0.3">
      <c r="B2562" s="134">
        <v>45862</v>
      </c>
      <c r="C2562" s="135">
        <v>25062.1</v>
      </c>
    </row>
    <row r="2563" spans="2:3" x14ac:dyDescent="0.3">
      <c r="B2563" s="134">
        <v>45863</v>
      </c>
      <c r="C2563" s="135">
        <v>24837</v>
      </c>
    </row>
    <row r="2564" spans="2:3" x14ac:dyDescent="0.3">
      <c r="B2564" s="134">
        <v>45866</v>
      </c>
      <c r="C2564" s="135">
        <v>24680.9</v>
      </c>
    </row>
    <row r="2565" spans="2:3" x14ac:dyDescent="0.3">
      <c r="B2565" s="134">
        <v>45867</v>
      </c>
      <c r="C2565" s="135">
        <v>24821.1</v>
      </c>
    </row>
    <row r="2566" spans="2:3" x14ac:dyDescent="0.3">
      <c r="B2566" s="134">
        <v>45868</v>
      </c>
      <c r="C2566" s="135">
        <v>24855.05</v>
      </c>
    </row>
    <row r="2567" spans="2:3" x14ac:dyDescent="0.3">
      <c r="B2567" s="134">
        <v>45869</v>
      </c>
      <c r="C2567" s="135">
        <v>24768.35</v>
      </c>
    </row>
    <row r="2568" spans="2:3" x14ac:dyDescent="0.3">
      <c r="B2568" s="134">
        <v>45870</v>
      </c>
      <c r="C2568" s="135">
        <v>24565.35</v>
      </c>
    </row>
    <row r="2569" spans="2:3" x14ac:dyDescent="0.3">
      <c r="B2569" s="134">
        <v>45873</v>
      </c>
      <c r="C2569" s="135">
        <v>24722.75</v>
      </c>
    </row>
    <row r="2570" spans="2:3" x14ac:dyDescent="0.3">
      <c r="B2570" s="134">
        <v>45874</v>
      </c>
      <c r="C2570" s="135">
        <v>24649.55</v>
      </c>
    </row>
    <row r="2571" spans="2:3" x14ac:dyDescent="0.3">
      <c r="B2571" s="134">
        <v>45875</v>
      </c>
      <c r="C2571" s="135">
        <v>24574.2</v>
      </c>
    </row>
    <row r="2572" spans="2:3" x14ac:dyDescent="0.3">
      <c r="B2572" s="134">
        <v>45876</v>
      </c>
      <c r="C2572" s="135">
        <v>24596.15</v>
      </c>
    </row>
    <row r="2573" spans="2:3" x14ac:dyDescent="0.3">
      <c r="B2573" s="134">
        <v>45877</v>
      </c>
      <c r="C2573" s="135">
        <v>24363.3</v>
      </c>
    </row>
    <row r="2574" spans="2:3" x14ac:dyDescent="0.3">
      <c r="B2574" s="134">
        <v>45880</v>
      </c>
      <c r="C2574" s="135">
        <v>24585.05</v>
      </c>
    </row>
    <row r="2575" spans="2:3" x14ac:dyDescent="0.3">
      <c r="B2575" s="134">
        <v>45881</v>
      </c>
      <c r="C2575" s="135">
        <v>24487.4</v>
      </c>
    </row>
    <row r="2576" spans="2:3" x14ac:dyDescent="0.3">
      <c r="B2576" s="134">
        <v>45882</v>
      </c>
      <c r="C2576" s="135">
        <v>24619.35</v>
      </c>
    </row>
    <row r="2577" spans="2:3" x14ac:dyDescent="0.3">
      <c r="B2577" s="134">
        <v>45883</v>
      </c>
      <c r="C2577" s="135">
        <v>24631.3</v>
      </c>
    </row>
    <row r="2578" spans="2:3" x14ac:dyDescent="0.3">
      <c r="B2578" s="134">
        <v>45887</v>
      </c>
      <c r="C2578" s="135">
        <v>24876.95</v>
      </c>
    </row>
    <row r="2579" spans="2:3" x14ac:dyDescent="0.3">
      <c r="B2579" s="134">
        <v>45888</v>
      </c>
      <c r="C2579" s="135">
        <v>24980.65</v>
      </c>
    </row>
    <row r="2580" spans="2:3" x14ac:dyDescent="0.3">
      <c r="B2580" s="134">
        <v>45889</v>
      </c>
      <c r="C2580" s="135">
        <v>25050.55</v>
      </c>
    </row>
    <row r="2581" spans="2:3" x14ac:dyDescent="0.3">
      <c r="B2581" s="134">
        <v>45890</v>
      </c>
      <c r="C2581" s="135">
        <v>25083.75</v>
      </c>
    </row>
    <row r="2582" spans="2:3" x14ac:dyDescent="0.3">
      <c r="B2582" s="134">
        <v>45891</v>
      </c>
      <c r="C2582" s="135">
        <v>24870.1</v>
      </c>
    </row>
    <row r="2583" spans="2:3" x14ac:dyDescent="0.3">
      <c r="B2583" s="134">
        <v>45894</v>
      </c>
      <c r="C2583" s="135">
        <v>24967.75</v>
      </c>
    </row>
    <row r="2584" spans="2:3" x14ac:dyDescent="0.3">
      <c r="B2584" s="134">
        <v>45895</v>
      </c>
      <c r="C2584" s="135">
        <v>24712.05</v>
      </c>
    </row>
    <row r="2585" spans="2:3" x14ac:dyDescent="0.3">
      <c r="B2585" s="134">
        <v>45897</v>
      </c>
      <c r="C2585" s="135">
        <v>24500.9</v>
      </c>
    </row>
    <row r="2586" spans="2:3" x14ac:dyDescent="0.3">
      <c r="B2586" s="134">
        <v>45898</v>
      </c>
      <c r="C2586" s="135">
        <v>24426.85</v>
      </c>
    </row>
    <row r="2587" spans="2:3" x14ac:dyDescent="0.3">
      <c r="B2587" s="134">
        <v>45901</v>
      </c>
      <c r="C2587" s="135">
        <v>24625.05</v>
      </c>
    </row>
    <row r="2588" spans="2:3" x14ac:dyDescent="0.3">
      <c r="B2588" s="134">
        <v>45902</v>
      </c>
      <c r="C2588" s="135">
        <v>24579.599999999999</v>
      </c>
    </row>
    <row r="2589" spans="2:3" x14ac:dyDescent="0.3">
      <c r="B2589" s="134">
        <v>45903</v>
      </c>
      <c r="C2589" s="135">
        <v>24715.05</v>
      </c>
    </row>
    <row r="2590" spans="2:3" x14ac:dyDescent="0.3">
      <c r="B2590" s="134">
        <v>45904</v>
      </c>
      <c r="C2590" s="135">
        <v>24734.3</v>
      </c>
    </row>
    <row r="2591" spans="2:3" x14ac:dyDescent="0.3">
      <c r="B2591" s="134">
        <v>45905</v>
      </c>
      <c r="C2591" s="135">
        <v>24741</v>
      </c>
    </row>
    <row r="2592" spans="2:3" x14ac:dyDescent="0.3">
      <c r="B2592" s="134">
        <v>45908</v>
      </c>
      <c r="C2592" s="135">
        <v>24773.15</v>
      </c>
    </row>
    <row r="2593" spans="2:3" x14ac:dyDescent="0.3">
      <c r="B2593" s="134">
        <v>45909</v>
      </c>
      <c r="C2593" s="135">
        <v>24868.6</v>
      </c>
    </row>
    <row r="2594" spans="2:3" x14ac:dyDescent="0.3">
      <c r="B2594" s="134">
        <v>45910</v>
      </c>
      <c r="C2594" s="135">
        <v>24973.1</v>
      </c>
    </row>
    <row r="2595" spans="2:3" x14ac:dyDescent="0.3">
      <c r="B2595" s="134">
        <v>45911</v>
      </c>
      <c r="C2595" s="135">
        <v>25005.5</v>
      </c>
    </row>
    <row r="2596" spans="2:3" x14ac:dyDescent="0.3">
      <c r="B2596" s="134">
        <v>45912</v>
      </c>
      <c r="C2596" s="135">
        <v>25114</v>
      </c>
    </row>
    <row r="2597" spans="2:3" x14ac:dyDescent="0.3">
      <c r="B2597" s="134">
        <v>45915</v>
      </c>
      <c r="C2597" s="135">
        <v>25069.200000000001</v>
      </c>
    </row>
    <row r="2598" spans="2:3" x14ac:dyDescent="0.3">
      <c r="B2598" s="134">
        <v>45916</v>
      </c>
      <c r="C2598" s="135">
        <v>25239.1</v>
      </c>
    </row>
    <row r="2599" spans="2:3" x14ac:dyDescent="0.3">
      <c r="B2599" s="134">
        <v>45917</v>
      </c>
      <c r="C2599" s="135">
        <v>25330.25</v>
      </c>
    </row>
    <row r="2600" spans="2:3" x14ac:dyDescent="0.3">
      <c r="B2600" s="134">
        <v>45918</v>
      </c>
      <c r="C2600" s="135">
        <v>25423.599999999999</v>
      </c>
    </row>
    <row r="2601" spans="2:3" x14ac:dyDescent="0.3">
      <c r="B2601" s="134">
        <v>45919</v>
      </c>
      <c r="C2601" s="135">
        <v>25327.05</v>
      </c>
    </row>
    <row r="2602" spans="2:3" x14ac:dyDescent="0.3">
      <c r="B2602" s="134">
        <v>45922</v>
      </c>
      <c r="C2602" s="135">
        <v>25202.35</v>
      </c>
    </row>
    <row r="2603" spans="2:3" x14ac:dyDescent="0.3">
      <c r="B2603" s="134">
        <v>45923</v>
      </c>
      <c r="C2603" s="135">
        <v>25169.5</v>
      </c>
    </row>
    <row r="2604" spans="2:3" x14ac:dyDescent="0.3">
      <c r="B2604" s="134">
        <v>45924</v>
      </c>
      <c r="C2604" s="135">
        <v>25056.9</v>
      </c>
    </row>
    <row r="2605" spans="2:3" x14ac:dyDescent="0.3">
      <c r="B2605" s="134">
        <v>45925</v>
      </c>
      <c r="C2605" s="135">
        <v>24890.85</v>
      </c>
    </row>
    <row r="2606" spans="2:3" x14ac:dyDescent="0.3">
      <c r="B2606" s="134">
        <v>45926</v>
      </c>
      <c r="C2606" s="135">
        <v>24654.7</v>
      </c>
    </row>
    <row r="2607" spans="2:3" x14ac:dyDescent="0.3">
      <c r="B2607" s="134">
        <v>45929</v>
      </c>
      <c r="C2607" s="135">
        <v>24634.9</v>
      </c>
    </row>
    <row r="2608" spans="2:3" x14ac:dyDescent="0.3">
      <c r="B2608" s="134">
        <v>45930</v>
      </c>
      <c r="C2608" s="135">
        <v>24611.1</v>
      </c>
    </row>
    <row r="2609" spans="2:3" x14ac:dyDescent="0.3">
      <c r="B2609" s="134">
        <v>45931</v>
      </c>
      <c r="C2609" s="135">
        <v>24836.3</v>
      </c>
    </row>
    <row r="2610" spans="2:3" x14ac:dyDescent="0.3">
      <c r="B2610" s="134">
        <v>45933</v>
      </c>
      <c r="C2610" s="135">
        <v>24894.25</v>
      </c>
    </row>
    <row r="2611" spans="2:3" x14ac:dyDescent="0.3">
      <c r="B2611" s="134">
        <v>45936</v>
      </c>
      <c r="C2611" s="135">
        <v>25077.65</v>
      </c>
    </row>
    <row r="2612" spans="2:3" x14ac:dyDescent="0.3">
      <c r="B2612" s="134">
        <v>45937</v>
      </c>
      <c r="C2612" s="135">
        <v>25108.3</v>
      </c>
    </row>
    <row r="2613" spans="2:3" x14ac:dyDescent="0.3">
      <c r="B2613" s="134">
        <v>45938</v>
      </c>
      <c r="C2613" s="135">
        <v>25046.15</v>
      </c>
    </row>
    <row r="2614" spans="2:3" x14ac:dyDescent="0.3">
      <c r="B2614" s="134">
        <v>45939</v>
      </c>
      <c r="C2614" s="135">
        <v>25181.8</v>
      </c>
    </row>
    <row r="2615" spans="2:3" x14ac:dyDescent="0.3">
      <c r="B2615" s="134">
        <v>45940</v>
      </c>
      <c r="C2615" s="135">
        <v>25285.35</v>
      </c>
    </row>
    <row r="2616" spans="2:3" x14ac:dyDescent="0.3">
      <c r="B2616" s="134">
        <v>45943</v>
      </c>
      <c r="C2616" s="135">
        <v>25227.35</v>
      </c>
    </row>
    <row r="2617" spans="2:3" x14ac:dyDescent="0.3">
      <c r="B2617" s="134">
        <v>45944</v>
      </c>
      <c r="C2617" s="135">
        <v>25145.5</v>
      </c>
    </row>
    <row r="2618" spans="2:3" x14ac:dyDescent="0.3">
      <c r="B2618" s="134">
        <v>45945</v>
      </c>
      <c r="C2618" s="135">
        <v>25323.55</v>
      </c>
    </row>
    <row r="2619" spans="2:3" x14ac:dyDescent="0.3">
      <c r="B2619" s="134">
        <v>45946</v>
      </c>
      <c r="C2619" s="135">
        <v>25585.3</v>
      </c>
    </row>
    <row r="2620" spans="2:3" x14ac:dyDescent="0.3">
      <c r="B2620" s="134">
        <v>45947</v>
      </c>
      <c r="C2620" s="135">
        <v>25709.85</v>
      </c>
    </row>
    <row r="2621" spans="2:3" x14ac:dyDescent="0.3">
      <c r="B2621" s="134">
        <v>45950</v>
      </c>
      <c r="C2621" s="135">
        <v>25843.15</v>
      </c>
    </row>
    <row r="2622" spans="2:3" x14ac:dyDescent="0.3">
      <c r="B2622" s="134">
        <v>45951</v>
      </c>
      <c r="C2622" s="135">
        <v>25868.6</v>
      </c>
    </row>
    <row r="2623" spans="2:3" x14ac:dyDescent="0.3">
      <c r="B2623" s="134">
        <v>45953</v>
      </c>
      <c r="C2623" s="135">
        <v>25891.4</v>
      </c>
    </row>
    <row r="2624" spans="2:3" x14ac:dyDescent="0.3">
      <c r="B2624" s="134">
        <v>45954</v>
      </c>
      <c r="C2624" s="135">
        <v>25795.15</v>
      </c>
    </row>
    <row r="2625" spans="2:3" x14ac:dyDescent="0.3">
      <c r="B2625" s="134">
        <v>45957</v>
      </c>
      <c r="C2625" s="135">
        <v>25966.05</v>
      </c>
    </row>
    <row r="2626" spans="2:3" x14ac:dyDescent="0.3">
      <c r="B2626" s="134">
        <v>45958</v>
      </c>
      <c r="C2626" s="135">
        <v>25936.2</v>
      </c>
    </row>
    <row r="2627" spans="2:3" x14ac:dyDescent="0.3">
      <c r="B2627" s="134">
        <v>45959</v>
      </c>
      <c r="C2627" s="135">
        <v>26053.9</v>
      </c>
    </row>
    <row r="2628" spans="2:3" x14ac:dyDescent="0.3">
      <c r="B2628" s="134">
        <v>45960</v>
      </c>
      <c r="C2628" s="135">
        <v>25877.85</v>
      </c>
    </row>
    <row r="2629" spans="2:3" x14ac:dyDescent="0.3">
      <c r="B2629" s="134">
        <v>45961</v>
      </c>
      <c r="C2629" s="135">
        <v>25722.1</v>
      </c>
    </row>
    <row r="2630" spans="2:3" x14ac:dyDescent="0.3">
      <c r="B2630" s="134">
        <v>45964</v>
      </c>
      <c r="C2630" s="135">
        <v>25763.35</v>
      </c>
    </row>
    <row r="2631" spans="2:3" x14ac:dyDescent="0.3">
      <c r="B2631" s="134">
        <v>45965</v>
      </c>
      <c r="C2631" s="135">
        <v>25597.65</v>
      </c>
    </row>
    <row r="2632" spans="2:3" x14ac:dyDescent="0.3">
      <c r="B2632" s="134">
        <v>45967</v>
      </c>
      <c r="C2632" s="135">
        <v>25509.7</v>
      </c>
    </row>
    <row r="2633" spans="2:3" x14ac:dyDescent="0.3">
      <c r="B2633" s="134">
        <v>45968</v>
      </c>
      <c r="C2633" s="135">
        <v>25492.3</v>
      </c>
    </row>
    <row r="2634" spans="2:3" x14ac:dyDescent="0.3">
      <c r="B2634" s="134">
        <v>45971</v>
      </c>
      <c r="C2634" s="135">
        <v>25574.35</v>
      </c>
    </row>
    <row r="2635" spans="2:3" x14ac:dyDescent="0.3">
      <c r="B2635" s="134">
        <v>45972</v>
      </c>
      <c r="C2635" s="135">
        <v>25694.95</v>
      </c>
    </row>
    <row r="2636" spans="2:3" x14ac:dyDescent="0.3">
      <c r="B2636" s="134">
        <v>45973</v>
      </c>
      <c r="C2636" s="135">
        <v>25875.8</v>
      </c>
    </row>
    <row r="2637" spans="2:3" x14ac:dyDescent="0.3">
      <c r="B2637" s="134">
        <v>45974</v>
      </c>
      <c r="C2637" s="135">
        <v>25879.15</v>
      </c>
    </row>
    <row r="2638" spans="2:3" x14ac:dyDescent="0.3">
      <c r="B2638" s="134">
        <v>45975</v>
      </c>
      <c r="C2638" s="135">
        <v>25910.05</v>
      </c>
    </row>
    <row r="2639" spans="2:3" x14ac:dyDescent="0.3">
      <c r="B2639" s="134">
        <v>45978</v>
      </c>
      <c r="C2639" s="135">
        <v>26013.45</v>
      </c>
    </row>
    <row r="2640" spans="2:3" x14ac:dyDescent="0.3">
      <c r="B2640" s="134">
        <v>45979</v>
      </c>
      <c r="C2640" s="135">
        <v>25910.05</v>
      </c>
    </row>
    <row r="2641" spans="2:3" x14ac:dyDescent="0.3">
      <c r="B2641" s="134">
        <v>45980</v>
      </c>
      <c r="C2641" s="135">
        <v>26052.65</v>
      </c>
    </row>
    <row r="2642" spans="2:3" x14ac:dyDescent="0.3">
      <c r="B2642" s="134">
        <v>45981</v>
      </c>
      <c r="C2642" s="135">
        <v>26192.15</v>
      </c>
    </row>
    <row r="2643" spans="2:3" x14ac:dyDescent="0.3">
      <c r="B2643" s="134">
        <v>45982</v>
      </c>
      <c r="C2643" s="135">
        <v>26068.15</v>
      </c>
    </row>
    <row r="2644" spans="2:3" x14ac:dyDescent="0.3">
      <c r="B2644" s="134">
        <v>45985</v>
      </c>
      <c r="C2644" s="135">
        <v>25959.5</v>
      </c>
    </row>
    <row r="2645" spans="2:3" x14ac:dyDescent="0.3">
      <c r="B2645" s="134">
        <v>45986</v>
      </c>
      <c r="C2645" s="135">
        <v>25884.799999999999</v>
      </c>
    </row>
    <row r="2646" spans="2:3" x14ac:dyDescent="0.3">
      <c r="B2646" s="134">
        <v>45987</v>
      </c>
      <c r="C2646" s="135">
        <v>26205.3</v>
      </c>
    </row>
    <row r="2647" spans="2:3" x14ac:dyDescent="0.3">
      <c r="B2647" s="134">
        <v>45988</v>
      </c>
      <c r="C2647" s="135">
        <v>26215.55</v>
      </c>
    </row>
    <row r="2648" spans="2:3" x14ac:dyDescent="0.3">
      <c r="B2648" s="134">
        <v>45989</v>
      </c>
      <c r="C2648" s="135">
        <v>26202.95</v>
      </c>
    </row>
    <row r="2649" spans="2:3" x14ac:dyDescent="0.3">
      <c r="B2649" s="134">
        <v>45992</v>
      </c>
      <c r="C2649" s="135">
        <v>26175.75</v>
      </c>
    </row>
    <row r="2650" spans="2:3" x14ac:dyDescent="0.3">
      <c r="B2650" s="134">
        <v>45993</v>
      </c>
      <c r="C2650" s="135">
        <v>26032.2</v>
      </c>
    </row>
    <row r="2651" spans="2:3" x14ac:dyDescent="0.3">
      <c r="B2651" s="134">
        <v>45994</v>
      </c>
      <c r="C2651" s="135">
        <v>25986</v>
      </c>
    </row>
    <row r="2652" spans="2:3" x14ac:dyDescent="0.3">
      <c r="B2652" s="134">
        <v>45995</v>
      </c>
      <c r="C2652" s="135">
        <v>26033.75</v>
      </c>
    </row>
    <row r="2653" spans="2:3" x14ac:dyDescent="0.3">
      <c r="B2653" s="134">
        <v>45996</v>
      </c>
      <c r="C2653" s="135">
        <v>26186.45</v>
      </c>
    </row>
    <row r="2654" spans="2:3" x14ac:dyDescent="0.3">
      <c r="B2654" s="134">
        <v>45999</v>
      </c>
      <c r="C2654" s="135">
        <v>25960.55</v>
      </c>
    </row>
    <row r="2655" spans="2:3" x14ac:dyDescent="0.3">
      <c r="B2655" s="134">
        <v>46000</v>
      </c>
      <c r="C2655" s="135">
        <v>25839.65</v>
      </c>
    </row>
    <row r="2656" spans="2:3" x14ac:dyDescent="0.3">
      <c r="B2656" s="134">
        <v>46001</v>
      </c>
      <c r="C2656" s="135">
        <v>25758</v>
      </c>
    </row>
    <row r="2657" spans="2:3" x14ac:dyDescent="0.3">
      <c r="B2657" s="134">
        <v>46002</v>
      </c>
      <c r="C2657" s="135">
        <v>25898.55</v>
      </c>
    </row>
    <row r="2658" spans="2:3" x14ac:dyDescent="0.3">
      <c r="B2658" s="134">
        <v>46003</v>
      </c>
      <c r="C2658" s="135">
        <v>26046.95</v>
      </c>
    </row>
    <row r="2659" spans="2:3" x14ac:dyDescent="0.3">
      <c r="B2659" s="134">
        <v>46006</v>
      </c>
      <c r="C2659" s="135">
        <v>26027.3</v>
      </c>
    </row>
    <row r="2660" spans="2:3" x14ac:dyDescent="0.3">
      <c r="B2660" s="134">
        <v>46007</v>
      </c>
      <c r="C2660" s="135">
        <v>25860.1</v>
      </c>
    </row>
    <row r="2661" spans="2:3" x14ac:dyDescent="0.3">
      <c r="B2661" s="134">
        <v>46008</v>
      </c>
      <c r="C2661" s="135">
        <v>25818.55</v>
      </c>
    </row>
    <row r="2662" spans="2:3" x14ac:dyDescent="0.3">
      <c r="B2662" s="134">
        <v>46009</v>
      </c>
      <c r="C2662" s="135">
        <v>25815.55</v>
      </c>
    </row>
    <row r="2663" spans="2:3" x14ac:dyDescent="0.3">
      <c r="B2663" s="134">
        <v>46010</v>
      </c>
      <c r="C2663" s="135">
        <v>25966.400000000001</v>
      </c>
    </row>
    <row r="2664" spans="2:3" x14ac:dyDescent="0.3">
      <c r="B2664" s="134">
        <v>46013</v>
      </c>
      <c r="C2664" s="135">
        <v>26172.400000000001</v>
      </c>
    </row>
    <row r="2665" spans="2:3" x14ac:dyDescent="0.3">
      <c r="B2665" s="134">
        <v>46014</v>
      </c>
      <c r="C2665" s="135">
        <v>26177.15</v>
      </c>
    </row>
    <row r="2666" spans="2:3" x14ac:dyDescent="0.3">
      <c r="B2666" s="134">
        <v>46015</v>
      </c>
      <c r="C2666" s="135">
        <v>26142.1</v>
      </c>
    </row>
    <row r="2667" spans="2:3" x14ac:dyDescent="0.3">
      <c r="B2667" s="134">
        <v>46017</v>
      </c>
      <c r="C2667" s="135">
        <v>26042.3</v>
      </c>
    </row>
    <row r="2668" spans="2:3" x14ac:dyDescent="0.3">
      <c r="B2668" s="134">
        <v>46020</v>
      </c>
      <c r="C2668" s="135">
        <v>25942.1</v>
      </c>
    </row>
    <row r="2669" spans="2:3" x14ac:dyDescent="0.3">
      <c r="B2669" s="134">
        <v>46021</v>
      </c>
      <c r="C2669" s="135">
        <v>25938.85</v>
      </c>
    </row>
    <row r="2670" spans="2:3" x14ac:dyDescent="0.3">
      <c r="B2670" s="134">
        <v>46022</v>
      </c>
      <c r="C2670" s="135">
        <v>26129.599999999999</v>
      </c>
    </row>
    <row r="2671" spans="2:3" x14ac:dyDescent="0.3">
      <c r="B2671" s="134">
        <v>46023</v>
      </c>
      <c r="C2671" s="135">
        <v>26146.55</v>
      </c>
    </row>
    <row r="2672" spans="2:3" x14ac:dyDescent="0.3">
      <c r="B2672" s="134">
        <v>46024</v>
      </c>
      <c r="C2672" s="135">
        <v>26328.55</v>
      </c>
    </row>
    <row r="2673" spans="2:3" x14ac:dyDescent="0.3">
      <c r="B2673" s="134">
        <v>46027</v>
      </c>
      <c r="C2673" s="135">
        <v>26250.3</v>
      </c>
    </row>
    <row r="2674" spans="2:3" x14ac:dyDescent="0.3">
      <c r="B2674" s="134">
        <v>46028</v>
      </c>
      <c r="C2674" s="135">
        <v>26178.7</v>
      </c>
    </row>
    <row r="2675" spans="2:3" x14ac:dyDescent="0.3">
      <c r="B2675" s="134">
        <v>46029</v>
      </c>
      <c r="C2675" s="135">
        <v>26140.75</v>
      </c>
    </row>
    <row r="2676" spans="2:3" x14ac:dyDescent="0.3">
      <c r="B2676" s="134">
        <v>46030</v>
      </c>
      <c r="C2676" s="135">
        <v>25876.85</v>
      </c>
    </row>
    <row r="2677" spans="2:3" x14ac:dyDescent="0.3">
      <c r="B2677" s="134">
        <v>46031</v>
      </c>
      <c r="C2677" s="135">
        <v>25683.3</v>
      </c>
    </row>
    <row r="2678" spans="2:3" x14ac:dyDescent="0.3">
      <c r="B2678" s="134">
        <v>46034</v>
      </c>
      <c r="C2678" s="135">
        <v>25790.25</v>
      </c>
    </row>
    <row r="2679" spans="2:3" x14ac:dyDescent="0.3">
      <c r="B2679" s="134">
        <v>46035</v>
      </c>
      <c r="C2679" s="135">
        <v>25732.3</v>
      </c>
    </row>
    <row r="2680" spans="2:3" x14ac:dyDescent="0.3">
      <c r="B2680" s="134">
        <v>46036</v>
      </c>
      <c r="C2680" s="135">
        <v>25665.599999999999</v>
      </c>
    </row>
    <row r="2681" spans="2:3" x14ac:dyDescent="0.3">
      <c r="B2681" s="134">
        <v>46038</v>
      </c>
      <c r="C2681" s="135">
        <v>25694.35</v>
      </c>
    </row>
    <row r="2682" spans="2:3" x14ac:dyDescent="0.3">
      <c r="B2682" s="134">
        <v>46041</v>
      </c>
      <c r="C2682" s="135">
        <v>25585.5</v>
      </c>
    </row>
    <row r="2683" spans="2:3" x14ac:dyDescent="0.3">
      <c r="B2683" s="134">
        <v>46042</v>
      </c>
      <c r="C2683" s="135">
        <v>25232.5</v>
      </c>
    </row>
    <row r="2684" spans="2:3" x14ac:dyDescent="0.3">
      <c r="B2684" s="134">
        <v>46043</v>
      </c>
      <c r="C2684" s="135">
        <v>25157.5</v>
      </c>
    </row>
    <row r="2685" spans="2:3" x14ac:dyDescent="0.3">
      <c r="B2685" s="134">
        <v>46044</v>
      </c>
      <c r="C2685" s="135">
        <v>25289.9</v>
      </c>
    </row>
    <row r="2686" spans="2:3" x14ac:dyDescent="0.3">
      <c r="B2686" s="134">
        <v>46045</v>
      </c>
      <c r="C2686" s="135">
        <v>25048.65</v>
      </c>
    </row>
    <row r="2687" spans="2:3" x14ac:dyDescent="0.3">
      <c r="B2687" s="134">
        <v>46049</v>
      </c>
      <c r="C2687" s="135">
        <v>25175.4</v>
      </c>
    </row>
    <row r="2688" spans="2:3" x14ac:dyDescent="0.3">
      <c r="B2688" s="134">
        <v>46050</v>
      </c>
      <c r="C2688" s="135">
        <v>25342.75</v>
      </c>
    </row>
    <row r="2689" spans="2:3" x14ac:dyDescent="0.3">
      <c r="B2689" s="134">
        <v>46051</v>
      </c>
      <c r="C2689" s="135">
        <v>25418.9</v>
      </c>
    </row>
    <row r="2690" spans="2:3" x14ac:dyDescent="0.3">
      <c r="B2690" s="134">
        <v>46052</v>
      </c>
      <c r="C2690" s="135">
        <v>25320.65</v>
      </c>
    </row>
    <row r="2691" spans="2:3" x14ac:dyDescent="0.3">
      <c r="B2691" s="134">
        <v>46055</v>
      </c>
      <c r="C2691" s="135">
        <v>25088.400000000001</v>
      </c>
    </row>
    <row r="2692" spans="2:3" x14ac:dyDescent="0.3">
      <c r="B2692" s="134">
        <v>46056</v>
      </c>
      <c r="C2692" s="135">
        <v>25727.55</v>
      </c>
    </row>
    <row r="2693" spans="2:3" x14ac:dyDescent="0.3">
      <c r="B2693" s="134">
        <v>46057</v>
      </c>
      <c r="C2693" s="135">
        <v>25776</v>
      </c>
    </row>
    <row r="2694" spans="2:3" x14ac:dyDescent="0.3">
      <c r="B2694" s="134">
        <v>46058</v>
      </c>
      <c r="C2694" s="135">
        <v>25642.799999999999</v>
      </c>
    </row>
    <row r="2695" spans="2:3" x14ac:dyDescent="0.3">
      <c r="B2695" s="134">
        <v>46059</v>
      </c>
      <c r="C2695" s="135">
        <v>25693.7</v>
      </c>
    </row>
    <row r="2696" spans="2:3" x14ac:dyDescent="0.3">
      <c r="B2696" s="134">
        <v>46062</v>
      </c>
      <c r="C2696" s="135">
        <v>25867.3</v>
      </c>
    </row>
    <row r="2697" spans="2:3" x14ac:dyDescent="0.3">
      <c r="B2697" s="134">
        <v>46063</v>
      </c>
      <c r="C2697" s="135">
        <v>25935.15</v>
      </c>
    </row>
    <row r="2698" spans="2:3" x14ac:dyDescent="0.3">
      <c r="B2698" s="134">
        <v>46064</v>
      </c>
      <c r="C2698" s="135">
        <v>25953.85</v>
      </c>
    </row>
    <row r="2699" spans="2:3" x14ac:dyDescent="0.3">
      <c r="B2699" s="134">
        <v>46065</v>
      </c>
      <c r="C2699" s="135">
        <v>25807.200000000001</v>
      </c>
    </row>
    <row r="2700" spans="2:3" x14ac:dyDescent="0.3">
      <c r="B2700" s="134">
        <v>46066</v>
      </c>
      <c r="C2700" s="135">
        <v>25471.1</v>
      </c>
    </row>
    <row r="2701" spans="2:3" x14ac:dyDescent="0.3">
      <c r="B2701" s="134">
        <v>46069</v>
      </c>
      <c r="C2701" s="135">
        <v>25682.75</v>
      </c>
    </row>
    <row r="2702" spans="2:3" x14ac:dyDescent="0.3">
      <c r="B2702" s="134">
        <v>46070</v>
      </c>
      <c r="C2702" s="135">
        <v>25725.4</v>
      </c>
    </row>
    <row r="2703" spans="2:3" x14ac:dyDescent="0.3">
      <c r="B2703" s="134">
        <v>46071</v>
      </c>
      <c r="C2703" s="135">
        <v>25819.35</v>
      </c>
    </row>
    <row r="2704" spans="2:3" x14ac:dyDescent="0.3">
      <c r="B2704" s="134">
        <v>46072</v>
      </c>
      <c r="C2704" s="135">
        <v>25454.35</v>
      </c>
    </row>
    <row r="2705" spans="2:3" x14ac:dyDescent="0.3">
      <c r="B2705" s="134">
        <v>46073</v>
      </c>
      <c r="C2705" s="135">
        <v>25571.25</v>
      </c>
    </row>
    <row r="2706" spans="2:3" x14ac:dyDescent="0.3">
      <c r="B2706" s="134">
        <v>46076</v>
      </c>
      <c r="C2706" s="135">
        <v>25713</v>
      </c>
    </row>
    <row r="2707" spans="2:3" x14ac:dyDescent="0.3">
      <c r="B2707" s="134">
        <v>46077</v>
      </c>
      <c r="C2707" s="135">
        <v>25424.65</v>
      </c>
    </row>
    <row r="2708" spans="2:3" x14ac:dyDescent="0.3">
      <c r="B2708" s="134">
        <v>46078</v>
      </c>
      <c r="C2708" s="135">
        <v>25482.5</v>
      </c>
    </row>
    <row r="2709" spans="2:3" x14ac:dyDescent="0.3">
      <c r="B2709" s="134">
        <v>46079</v>
      </c>
      <c r="C2709" s="135">
        <v>25496.55</v>
      </c>
    </row>
    <row r="2710" spans="2:3" x14ac:dyDescent="0.3">
      <c r="B2710" s="134">
        <v>46080</v>
      </c>
      <c r="C2710" s="135">
        <v>25178.65</v>
      </c>
    </row>
    <row r="2711" spans="2:3" x14ac:dyDescent="0.3">
      <c r="B2711" s="134">
        <v>46083</v>
      </c>
      <c r="C2711" s="135">
        <v>24865.7</v>
      </c>
    </row>
    <row r="2712" spans="2:3" x14ac:dyDescent="0.3">
      <c r="B2712" s="134">
        <v>46085</v>
      </c>
      <c r="C2712" s="135">
        <v>24480.5</v>
      </c>
    </row>
    <row r="2713" spans="2:3" x14ac:dyDescent="0.3">
      <c r="B2713" s="134">
        <v>46086</v>
      </c>
      <c r="C2713" s="135">
        <v>24765.9</v>
      </c>
    </row>
    <row r="2714" spans="2:3" x14ac:dyDescent="0.3">
      <c r="B2714" s="134">
        <v>46087</v>
      </c>
      <c r="C2714" s="135">
        <v>24450.45</v>
      </c>
    </row>
  </sheetData>
  <mergeCells count="2">
    <mergeCell ref="B2:D2"/>
    <mergeCell ref="D1:O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6C82D-271E-456C-82E7-900FB6D3D856}">
  <sheetPr>
    <tabColor theme="0" tint="-0.34998626667073579"/>
  </sheetPr>
  <dimension ref="A1:R28"/>
  <sheetViews>
    <sheetView showGridLines="0" workbookViewId="0">
      <selection activeCell="E18" sqref="E18"/>
    </sheetView>
  </sheetViews>
  <sheetFormatPr defaultRowHeight="14.4" x14ac:dyDescent="0.3"/>
  <cols>
    <col min="1" max="1" width="2.33203125" style="136" customWidth="1"/>
    <col min="2" max="2" width="34.33203125" customWidth="1"/>
    <col min="3" max="3" width="15.44140625" customWidth="1"/>
    <col min="4" max="4" width="2" customWidth="1"/>
    <col min="5" max="5" width="9" bestFit="1" customWidth="1"/>
    <col min="6" max="6" width="10.44140625" bestFit="1" customWidth="1"/>
    <col min="7" max="7" width="14.5546875" bestFit="1" customWidth="1"/>
    <col min="8" max="8" width="7.77734375" bestFit="1" customWidth="1"/>
    <col min="9" max="9" width="15.6640625" bestFit="1" customWidth="1"/>
    <col min="10" max="10" width="19.109375" bestFit="1" customWidth="1"/>
    <col min="12" max="12" width="9" bestFit="1" customWidth="1"/>
    <col min="13" max="13" width="10.33203125" bestFit="1" customWidth="1"/>
    <col min="16" max="16" width="10.5546875" bestFit="1" customWidth="1"/>
    <col min="17" max="17" width="13.6640625" bestFit="1" customWidth="1"/>
    <col min="18" max="18" width="8.88671875" bestFit="1" customWidth="1"/>
  </cols>
  <sheetData>
    <row r="1" spans="1:18" s="33" customFormat="1" ht="61.8" customHeight="1" x14ac:dyDescent="1.2">
      <c r="A1" s="35"/>
      <c r="B1" s="334" t="s">
        <v>475</v>
      </c>
      <c r="C1" s="334"/>
      <c r="D1" s="334"/>
      <c r="E1" s="334"/>
      <c r="F1" s="334"/>
      <c r="G1" s="334"/>
      <c r="H1" s="334"/>
      <c r="I1" s="334"/>
      <c r="J1" s="334"/>
      <c r="K1" s="334"/>
      <c r="L1" s="334"/>
      <c r="M1" s="334"/>
      <c r="N1" s="334"/>
      <c r="O1" s="334"/>
    </row>
    <row r="3" spans="1:18" ht="21" x14ac:dyDescent="0.4">
      <c r="B3" s="351" t="s">
        <v>258</v>
      </c>
      <c r="C3" s="351"/>
      <c r="D3" s="351"/>
      <c r="E3" s="351"/>
    </row>
    <row r="5" spans="1:18" ht="16.2" x14ac:dyDescent="0.3">
      <c r="B5" s="137"/>
      <c r="C5" s="138"/>
      <c r="D5" s="138"/>
      <c r="E5" s="139" t="s">
        <v>259</v>
      </c>
      <c r="F5" s="139"/>
      <c r="G5" s="140"/>
      <c r="H5" s="140"/>
      <c r="I5" s="140"/>
      <c r="J5" s="140"/>
      <c r="K5" s="137"/>
      <c r="L5" s="139" t="s">
        <v>260</v>
      </c>
      <c r="M5" s="140"/>
      <c r="N5" s="139"/>
      <c r="O5" s="137"/>
      <c r="P5" s="139" t="s">
        <v>261</v>
      </c>
      <c r="Q5" s="140"/>
      <c r="R5" s="139"/>
    </row>
    <row r="6" spans="1:18" ht="16.2" x14ac:dyDescent="0.3">
      <c r="B6" s="141"/>
      <c r="C6" s="138"/>
      <c r="D6" s="138"/>
      <c r="E6" s="142" t="s">
        <v>58</v>
      </c>
      <c r="F6" s="142" t="s">
        <v>262</v>
      </c>
      <c r="G6" s="142" t="s">
        <v>263</v>
      </c>
      <c r="H6" s="142" t="s">
        <v>264</v>
      </c>
      <c r="I6" s="142" t="s">
        <v>265</v>
      </c>
      <c r="J6" s="142" t="s">
        <v>266</v>
      </c>
      <c r="K6" s="143"/>
      <c r="L6" s="142" t="s">
        <v>6</v>
      </c>
      <c r="M6" s="142" t="s">
        <v>267</v>
      </c>
      <c r="N6" s="142" t="s">
        <v>268</v>
      </c>
      <c r="O6" s="144"/>
      <c r="P6" s="142" t="s">
        <v>269</v>
      </c>
      <c r="Q6" s="142" t="s">
        <v>270</v>
      </c>
      <c r="R6" s="142" t="s">
        <v>271</v>
      </c>
    </row>
    <row r="7" spans="1:18" ht="18" x14ac:dyDescent="0.3">
      <c r="B7" s="145" t="s">
        <v>272</v>
      </c>
      <c r="C7" s="142" t="s">
        <v>273</v>
      </c>
      <c r="D7" s="138"/>
      <c r="E7" s="146" t="s">
        <v>274</v>
      </c>
      <c r="F7" s="146" t="s">
        <v>275</v>
      </c>
      <c r="G7" s="147" t="s">
        <v>276</v>
      </c>
      <c r="H7" s="148"/>
      <c r="I7" s="142" t="s">
        <v>277</v>
      </c>
      <c r="J7" s="147" t="s">
        <v>276</v>
      </c>
      <c r="K7" s="143"/>
      <c r="L7" s="147" t="s">
        <v>276</v>
      </c>
      <c r="M7" s="147" t="s">
        <v>276</v>
      </c>
      <c r="N7" s="147" t="s">
        <v>276</v>
      </c>
      <c r="O7" s="144"/>
      <c r="P7" s="144" t="s">
        <v>278</v>
      </c>
      <c r="Q7" s="144" t="s">
        <v>278</v>
      </c>
      <c r="R7" s="144" t="s">
        <v>278</v>
      </c>
    </row>
    <row r="8" spans="1:18" x14ac:dyDescent="0.3">
      <c r="B8" s="271" t="s">
        <v>279</v>
      </c>
      <c r="C8" s="271" t="s">
        <v>280</v>
      </c>
      <c r="D8" s="271"/>
      <c r="E8" s="271">
        <v>4023.7</v>
      </c>
      <c r="F8" s="271">
        <v>66.88</v>
      </c>
      <c r="G8" s="271">
        <v>2690466</v>
      </c>
      <c r="H8" s="271">
        <v>114</v>
      </c>
      <c r="I8" s="271">
        <v>444714</v>
      </c>
      <c r="J8" s="271">
        <v>2245866</v>
      </c>
      <c r="K8" s="271"/>
      <c r="L8" s="271">
        <v>328463</v>
      </c>
      <c r="M8" s="271">
        <v>12169.77</v>
      </c>
      <c r="N8" s="271">
        <v>8896.11</v>
      </c>
      <c r="O8" s="271"/>
      <c r="P8" s="271">
        <f>J8/L8</f>
        <v>6.8375007230646982</v>
      </c>
      <c r="Q8" s="271">
        <v>16.95</v>
      </c>
      <c r="R8" s="271">
        <v>30.24</v>
      </c>
    </row>
    <row r="9" spans="1:18" x14ac:dyDescent="0.3">
      <c r="B9" s="271" t="s">
        <v>281</v>
      </c>
      <c r="C9" s="271" t="s">
        <v>282</v>
      </c>
      <c r="D9" s="271"/>
      <c r="E9" s="271">
        <v>1356.7</v>
      </c>
      <c r="F9" s="271">
        <v>36.659999999999997</v>
      </c>
      <c r="G9" s="271">
        <v>4965398</v>
      </c>
      <c r="H9" s="271">
        <v>12</v>
      </c>
      <c r="I9" s="271">
        <v>418164</v>
      </c>
      <c r="J9" s="271">
        <v>4547358</v>
      </c>
      <c r="K9" s="271"/>
      <c r="L9" s="271">
        <v>37386</v>
      </c>
      <c r="M9" s="271">
        <v>469.7</v>
      </c>
      <c r="N9" s="271">
        <v>579.91999999999996</v>
      </c>
      <c r="O9" s="271"/>
      <c r="P9" s="271">
        <f t="shared" ref="P9:P13" si="0">J9/L9</f>
        <v>121.63264323543572</v>
      </c>
      <c r="Q9" s="271">
        <v>52.19</v>
      </c>
      <c r="R9" s="271">
        <v>85.62</v>
      </c>
    </row>
    <row r="10" spans="1:18" x14ac:dyDescent="0.3">
      <c r="B10" s="271" t="s">
        <v>283</v>
      </c>
      <c r="C10" s="271" t="s">
        <v>284</v>
      </c>
      <c r="D10" s="271"/>
      <c r="E10" s="271">
        <v>2523.1999999999998</v>
      </c>
      <c r="F10" s="271">
        <v>11.46</v>
      </c>
      <c r="G10" s="271">
        <v>2892237</v>
      </c>
      <c r="H10" s="271">
        <v>320</v>
      </c>
      <c r="I10" s="271">
        <v>315730</v>
      </c>
      <c r="J10" s="271">
        <v>2579705</v>
      </c>
      <c r="K10" s="271"/>
      <c r="L10" s="271">
        <v>65250</v>
      </c>
      <c r="M10" s="271">
        <v>756</v>
      </c>
      <c r="N10" s="271">
        <v>688.99</v>
      </c>
      <c r="O10" s="271"/>
      <c r="P10" s="271">
        <f t="shared" si="0"/>
        <v>39.535708812260538</v>
      </c>
      <c r="Q10" s="271">
        <v>26.37</v>
      </c>
      <c r="R10" s="271">
        <v>41.98</v>
      </c>
    </row>
    <row r="11" spans="1:18" ht="22.2" customHeight="1" x14ac:dyDescent="0.3">
      <c r="B11" s="271" t="s">
        <v>285</v>
      </c>
      <c r="C11" s="271" t="s">
        <v>286</v>
      </c>
      <c r="D11" s="271"/>
      <c r="E11" s="271">
        <v>3491.2</v>
      </c>
      <c r="F11" s="271">
        <v>5.6</v>
      </c>
      <c r="G11" s="271">
        <v>1953988</v>
      </c>
      <c r="H11" s="271">
        <v>58</v>
      </c>
      <c r="I11" s="271">
        <v>17334</v>
      </c>
      <c r="J11" s="271">
        <v>1947235</v>
      </c>
      <c r="K11" s="271"/>
      <c r="L11" s="271">
        <v>9761</v>
      </c>
      <c r="M11" s="271">
        <v>77.58</v>
      </c>
      <c r="N11" s="271">
        <v>247.07</v>
      </c>
      <c r="O11" s="271"/>
      <c r="P11" s="271">
        <f t="shared" si="0"/>
        <v>199.49134310009219</v>
      </c>
      <c r="Q11" s="271">
        <v>53.56</v>
      </c>
      <c r="R11" s="271">
        <v>78.349999999999994</v>
      </c>
    </row>
    <row r="12" spans="1:18" x14ac:dyDescent="0.3">
      <c r="B12" s="271" t="s">
        <v>287</v>
      </c>
      <c r="C12" s="271" t="s">
        <v>288</v>
      </c>
      <c r="D12" s="271"/>
      <c r="E12" s="271">
        <v>1426.8</v>
      </c>
      <c r="F12" s="271">
        <v>9.0299999999999994</v>
      </c>
      <c r="G12" s="271">
        <v>1287713</v>
      </c>
      <c r="H12" s="271">
        <v>180</v>
      </c>
      <c r="I12" s="271">
        <v>83273</v>
      </c>
      <c r="J12" s="271">
        <v>1206235</v>
      </c>
      <c r="K12" s="271"/>
      <c r="L12" s="271">
        <v>8346</v>
      </c>
      <c r="M12" s="271">
        <v>371.5</v>
      </c>
      <c r="N12" s="271">
        <v>284.44</v>
      </c>
      <c r="O12" s="271"/>
      <c r="P12" s="271">
        <f t="shared" si="0"/>
        <v>144.52851665468489</v>
      </c>
      <c r="Q12" s="271">
        <v>28.67</v>
      </c>
      <c r="R12" s="271">
        <v>49.09</v>
      </c>
    </row>
    <row r="13" spans="1:18" x14ac:dyDescent="0.3">
      <c r="B13" s="271" t="s">
        <v>289</v>
      </c>
      <c r="C13" s="271" t="s">
        <v>290</v>
      </c>
      <c r="D13" s="271"/>
      <c r="E13" s="271">
        <v>3782.2</v>
      </c>
      <c r="F13" s="271">
        <v>3.08</v>
      </c>
      <c r="G13" s="271">
        <v>1163275</v>
      </c>
      <c r="H13" s="271">
        <v>1865</v>
      </c>
      <c r="I13" s="271">
        <v>17810</v>
      </c>
      <c r="J13" s="271">
        <v>1180139</v>
      </c>
      <c r="K13" s="271"/>
      <c r="L13" s="271">
        <v>7532</v>
      </c>
      <c r="M13" s="271">
        <v>120.9</v>
      </c>
      <c r="N13" s="271">
        <v>65.19</v>
      </c>
      <c r="O13" s="271"/>
      <c r="P13" s="271">
        <f t="shared" si="0"/>
        <v>156.68335103558152</v>
      </c>
      <c r="Q13" s="271">
        <v>78.11</v>
      </c>
      <c r="R13" s="271">
        <v>171.37</v>
      </c>
    </row>
    <row r="14" spans="1:18" x14ac:dyDescent="0.3">
      <c r="M14" s="149"/>
      <c r="N14" s="150"/>
      <c r="Q14" s="44"/>
      <c r="R14" s="44"/>
    </row>
    <row r="15" spans="1:18" ht="15.6" x14ac:dyDescent="0.3">
      <c r="B15" s="137" t="s">
        <v>291</v>
      </c>
      <c r="C15" s="137"/>
      <c r="D15" s="137"/>
      <c r="E15" s="152"/>
      <c r="F15" s="152"/>
      <c r="G15" s="152"/>
      <c r="H15" s="152"/>
      <c r="I15" s="152"/>
      <c r="J15" s="152"/>
      <c r="K15" s="152"/>
      <c r="L15" s="153"/>
      <c r="M15" s="153"/>
      <c r="N15" s="153"/>
      <c r="O15" s="152"/>
      <c r="P15" s="154">
        <f>AVERAGE(P8:P13)</f>
        <v>111.45151059351991</v>
      </c>
      <c r="Q15" s="154">
        <f t="shared" ref="Q15:R15" si="1">AVERAGE(Q8:Q13)</f>
        <v>42.641666666666673</v>
      </c>
      <c r="R15" s="154">
        <f t="shared" si="1"/>
        <v>76.108333333333334</v>
      </c>
    </row>
    <row r="16" spans="1:18" ht="15.6" x14ac:dyDescent="0.3">
      <c r="B16" s="137" t="s">
        <v>292</v>
      </c>
      <c r="C16" s="137"/>
      <c r="D16" s="137"/>
      <c r="E16" s="152"/>
      <c r="F16" s="152"/>
      <c r="G16" s="152"/>
      <c r="H16" s="152"/>
      <c r="I16" s="152"/>
      <c r="J16" s="152"/>
      <c r="K16" s="152"/>
      <c r="L16" s="153"/>
      <c r="M16" s="153"/>
      <c r="N16" s="153"/>
      <c r="O16" s="152"/>
      <c r="P16" s="154">
        <f>MEDIAN(P8:P13)</f>
        <v>133.08057994506032</v>
      </c>
      <c r="Q16" s="154">
        <f t="shared" ref="Q16:R16" si="2">MEDIAN(Q8:Q13)</f>
        <v>40.43</v>
      </c>
      <c r="R16" s="154">
        <f t="shared" si="2"/>
        <v>63.72</v>
      </c>
    </row>
    <row r="18" spans="2:18" x14ac:dyDescent="0.3">
      <c r="B18" s="271" t="s">
        <v>293</v>
      </c>
      <c r="C18" s="271" t="s">
        <v>294</v>
      </c>
      <c r="D18" s="271"/>
      <c r="E18" s="271">
        <v>468.45</v>
      </c>
      <c r="F18" s="271">
        <v>730.98</v>
      </c>
      <c r="G18" s="271">
        <v>3424265</v>
      </c>
      <c r="H18" s="271">
        <v>589</v>
      </c>
      <c r="I18" s="271">
        <v>8911</v>
      </c>
      <c r="J18" s="271">
        <v>3343689</v>
      </c>
      <c r="K18" s="271"/>
      <c r="L18" s="271">
        <v>265352</v>
      </c>
      <c r="M18" s="271">
        <v>2117</v>
      </c>
      <c r="N18" s="271">
        <v>5962.93</v>
      </c>
      <c r="O18" s="271"/>
      <c r="P18" s="271">
        <f>J18/L18</f>
        <v>12.600956465374296</v>
      </c>
      <c r="Q18" s="271">
        <f>J18/M18</f>
        <v>1579.4468587623996</v>
      </c>
      <c r="R18" s="271">
        <v>57.4</v>
      </c>
    </row>
    <row r="20" spans="2:18" ht="15.6" x14ac:dyDescent="0.3">
      <c r="B20" s="155" t="s">
        <v>295</v>
      </c>
      <c r="C20" s="156" t="s">
        <v>296</v>
      </c>
      <c r="D20" s="155"/>
      <c r="E20" s="157" t="s">
        <v>266</v>
      </c>
      <c r="F20" s="157" t="s">
        <v>297</v>
      </c>
      <c r="G20" s="157" t="s">
        <v>298</v>
      </c>
      <c r="H20" s="157" t="s">
        <v>262</v>
      </c>
      <c r="I20" s="157" t="s">
        <v>299</v>
      </c>
      <c r="J20" s="157" t="s">
        <v>300</v>
      </c>
    </row>
    <row r="21" spans="2:18" x14ac:dyDescent="0.3">
      <c r="B21" s="271" t="s">
        <v>301</v>
      </c>
      <c r="C21" s="271">
        <f>P16</f>
        <v>133.08057994506032</v>
      </c>
      <c r="D21" s="271"/>
      <c r="E21" s="271">
        <f>J18</f>
        <v>3343689</v>
      </c>
      <c r="F21" s="271">
        <f>H18-I18</f>
        <v>-8322</v>
      </c>
      <c r="G21" s="271">
        <f>E21-F21</f>
        <v>3352011</v>
      </c>
      <c r="H21" s="271">
        <f>$F$18</f>
        <v>730.98</v>
      </c>
      <c r="I21" s="271">
        <f>G21/H21</f>
        <v>4585.6398259870311</v>
      </c>
      <c r="J21" s="291" t="s">
        <v>302</v>
      </c>
    </row>
    <row r="22" spans="2:18" x14ac:dyDescent="0.3">
      <c r="B22" s="271" t="s">
        <v>270</v>
      </c>
      <c r="C22" s="271">
        <f>Q16</f>
        <v>40.43</v>
      </c>
      <c r="D22" s="271"/>
      <c r="E22" s="271">
        <f>C22*M18</f>
        <v>85590.31</v>
      </c>
      <c r="F22" s="271">
        <v>-8322</v>
      </c>
      <c r="G22" s="271">
        <f t="shared" ref="G22" si="3">E22-F22</f>
        <v>93912.31</v>
      </c>
      <c r="H22" s="271">
        <f t="shared" ref="H22:H23" si="4">$F$18</f>
        <v>730.98</v>
      </c>
      <c r="I22" s="271">
        <f t="shared" ref="I22:I23" si="5">G22/H22</f>
        <v>128.47452734684944</v>
      </c>
      <c r="J22" s="291" t="s">
        <v>302</v>
      </c>
    </row>
    <row r="23" spans="2:18" x14ac:dyDescent="0.3">
      <c r="B23" s="271" t="s">
        <v>271</v>
      </c>
      <c r="C23" s="271">
        <f>R16</f>
        <v>63.72</v>
      </c>
      <c r="D23" s="271"/>
      <c r="E23" s="271">
        <f>F23+G23</f>
        <v>371635.8996</v>
      </c>
      <c r="F23" s="271">
        <v>-8322</v>
      </c>
      <c r="G23" s="271">
        <f>C23*N18</f>
        <v>379957.8996</v>
      </c>
      <c r="H23" s="271">
        <f t="shared" si="4"/>
        <v>730.98</v>
      </c>
      <c r="I23" s="271">
        <f t="shared" si="5"/>
        <v>519.79246983501605</v>
      </c>
      <c r="J23" s="291" t="s">
        <v>302</v>
      </c>
    </row>
    <row r="28" spans="2:18" x14ac:dyDescent="0.3">
      <c r="G28">
        <v>9</v>
      </c>
    </row>
  </sheetData>
  <mergeCells count="2">
    <mergeCell ref="B3:E3"/>
    <mergeCell ref="B1:O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F468-11A7-4F9D-97B8-0DD6FE2E6C1D}">
  <sheetPr>
    <tabColor theme="0" tint="-0.34998626667073579"/>
  </sheetPr>
  <dimension ref="A1:O49"/>
  <sheetViews>
    <sheetView showGridLines="0" topLeftCell="A23" workbookViewId="0">
      <selection activeCell="K33" sqref="K33:Q48"/>
    </sheetView>
  </sheetViews>
  <sheetFormatPr defaultRowHeight="14.4" x14ac:dyDescent="0.3"/>
  <cols>
    <col min="1" max="1" width="2.33203125" customWidth="1"/>
    <col min="2" max="2" width="30.33203125" bestFit="1" customWidth="1"/>
    <col min="9" max="9" width="11.33203125" customWidth="1"/>
    <col min="10" max="10" width="6.88671875" bestFit="1" customWidth="1"/>
    <col min="11" max="11" width="12" bestFit="1" customWidth="1"/>
    <col min="12" max="12" width="12.44140625" bestFit="1" customWidth="1"/>
    <col min="13" max="13" width="8.109375" bestFit="1" customWidth="1"/>
    <col min="14" max="14" width="9.109375" bestFit="1" customWidth="1"/>
    <col min="15" max="15" width="11.6640625" bestFit="1" customWidth="1"/>
  </cols>
  <sheetData>
    <row r="1" spans="1:15" s="33" customFormat="1" ht="61.8" customHeight="1" x14ac:dyDescent="1.2">
      <c r="A1" s="35"/>
      <c r="B1" s="35"/>
      <c r="C1" s="334" t="s">
        <v>477</v>
      </c>
      <c r="D1" s="334"/>
      <c r="E1" s="334"/>
      <c r="F1" s="334"/>
      <c r="G1" s="334"/>
      <c r="H1" s="334"/>
      <c r="I1" s="334"/>
      <c r="J1" s="334"/>
      <c r="K1" s="334"/>
      <c r="L1" s="334"/>
      <c r="M1" s="334"/>
      <c r="N1" s="334"/>
      <c r="O1" s="334"/>
    </row>
    <row r="3" spans="1:15" x14ac:dyDescent="0.3">
      <c r="B3" s="354" t="s">
        <v>303</v>
      </c>
      <c r="C3" s="354"/>
      <c r="D3" s="354"/>
      <c r="E3" s="354"/>
      <c r="F3" s="354"/>
      <c r="G3" s="354"/>
      <c r="H3" s="354"/>
      <c r="I3" s="354"/>
      <c r="J3" s="354"/>
      <c r="K3" s="354"/>
      <c r="L3" s="354"/>
      <c r="M3" s="354"/>
      <c r="N3" s="354"/>
      <c r="O3" s="354"/>
    </row>
    <row r="4" spans="1:15" x14ac:dyDescent="0.3">
      <c r="B4" s="355" t="s">
        <v>304</v>
      </c>
      <c r="C4" s="355"/>
      <c r="D4" s="355"/>
      <c r="E4" s="355"/>
      <c r="F4" s="355"/>
      <c r="G4" s="355"/>
      <c r="H4" s="355"/>
      <c r="I4" s="355"/>
      <c r="J4" s="355"/>
      <c r="K4" s="355"/>
      <c r="L4" s="355"/>
      <c r="M4" s="355"/>
      <c r="N4" s="355"/>
      <c r="O4" s="355"/>
    </row>
    <row r="7" spans="1:15" ht="15.6" x14ac:dyDescent="0.3">
      <c r="B7" s="352" t="s">
        <v>305</v>
      </c>
      <c r="C7" s="352"/>
      <c r="D7" s="352"/>
      <c r="E7" s="352"/>
      <c r="F7" s="352"/>
      <c r="G7" s="352"/>
      <c r="H7" s="352"/>
      <c r="I7" s="352"/>
      <c r="J7" s="352"/>
      <c r="K7" s="352"/>
      <c r="L7" s="352"/>
      <c r="M7" s="352"/>
      <c r="N7" s="352"/>
      <c r="O7" s="352"/>
    </row>
    <row r="8" spans="1:15" ht="15.6" x14ac:dyDescent="0.3">
      <c r="I8" s="158" t="s">
        <v>157</v>
      </c>
      <c r="J8" s="158" t="s">
        <v>306</v>
      </c>
      <c r="K8" s="158" t="s">
        <v>307</v>
      </c>
      <c r="L8" s="158" t="s">
        <v>307</v>
      </c>
      <c r="M8" s="158" t="s">
        <v>13</v>
      </c>
      <c r="N8" s="158" t="s">
        <v>308</v>
      </c>
      <c r="O8" s="158" t="s">
        <v>309</v>
      </c>
    </row>
    <row r="9" spans="1:15" ht="15.6" x14ac:dyDescent="0.3">
      <c r="I9" s="158" t="s">
        <v>310</v>
      </c>
      <c r="J9" s="158" t="s">
        <v>264</v>
      </c>
      <c r="K9" s="158" t="s">
        <v>157</v>
      </c>
      <c r="L9" s="158" t="s">
        <v>311</v>
      </c>
      <c r="M9" s="158" t="s">
        <v>312</v>
      </c>
      <c r="N9" s="158" t="s">
        <v>313</v>
      </c>
      <c r="O9" s="158" t="s">
        <v>313</v>
      </c>
    </row>
    <row r="10" spans="1:15" x14ac:dyDescent="0.3">
      <c r="B10" s="271" t="s">
        <v>279</v>
      </c>
      <c r="C10" s="271"/>
      <c r="D10" s="271"/>
      <c r="E10" s="271"/>
      <c r="F10" s="271"/>
      <c r="G10" s="271"/>
      <c r="H10" s="271"/>
      <c r="I10" s="271">
        <f>'Comps valution'!G8</f>
        <v>2690466</v>
      </c>
      <c r="J10" s="271">
        <f>'Comps valution'!H8</f>
        <v>114</v>
      </c>
      <c r="K10" s="271">
        <f>J10/I10</f>
        <v>4.2371841903967566E-5</v>
      </c>
      <c r="L10" s="271">
        <f>J10/(I10+J10)</f>
        <v>4.2370046607051269E-5</v>
      </c>
      <c r="M10" s="271">
        <v>0.255</v>
      </c>
      <c r="N10" s="271">
        <v>2E-3</v>
      </c>
      <c r="O10" s="271">
        <v>1.05</v>
      </c>
    </row>
    <row r="11" spans="1:15" x14ac:dyDescent="0.3">
      <c r="B11" s="271" t="s">
        <v>281</v>
      </c>
      <c r="C11" s="271"/>
      <c r="D11" s="271"/>
      <c r="E11" s="271"/>
      <c r="F11" s="271"/>
      <c r="G11" s="271"/>
      <c r="H11" s="271"/>
      <c r="I11" s="271">
        <f>'Comps valution'!G9</f>
        <v>4965398</v>
      </c>
      <c r="J11" s="271">
        <f>'Comps valution'!H9</f>
        <v>12</v>
      </c>
      <c r="K11" s="271">
        <f t="shared" ref="K11" si="0">J11/I11</f>
        <v>2.4167247016251266E-6</v>
      </c>
      <c r="L11" s="271">
        <f t="shared" ref="L11:L15" si="1">J11/(I11+J11)</f>
        <v>2.4167188610809579E-6</v>
      </c>
      <c r="M11" s="271">
        <v>0.25800000000000001</v>
      </c>
      <c r="N11" s="271">
        <v>1E-3</v>
      </c>
      <c r="O11" s="271">
        <v>0.85</v>
      </c>
    </row>
    <row r="12" spans="1:15" x14ac:dyDescent="0.3">
      <c r="B12" s="271" t="s">
        <v>283</v>
      </c>
      <c r="C12" s="271"/>
      <c r="D12" s="271"/>
      <c r="E12" s="271"/>
      <c r="F12" s="271"/>
      <c r="G12" s="271"/>
      <c r="H12" s="271"/>
      <c r="I12" s="271">
        <f>'Comps valution'!G10</f>
        <v>2892237</v>
      </c>
      <c r="J12" s="271">
        <f>'Comps valution'!H10</f>
        <v>320</v>
      </c>
      <c r="K12" s="271">
        <v>0.1</v>
      </c>
      <c r="L12" s="271">
        <f t="shared" si="1"/>
        <v>1.1062876202612429E-4</v>
      </c>
      <c r="M12" s="271">
        <v>0.25900000000000001</v>
      </c>
      <c r="N12" s="271">
        <v>1E-3</v>
      </c>
      <c r="O12" s="271">
        <v>0.9</v>
      </c>
    </row>
    <row r="13" spans="1:15" x14ac:dyDescent="0.3">
      <c r="B13" s="271" t="s">
        <v>285</v>
      </c>
      <c r="C13" s="271"/>
      <c r="D13" s="271"/>
      <c r="E13" s="271"/>
      <c r="F13" s="271"/>
      <c r="G13" s="271"/>
      <c r="H13" s="271"/>
      <c r="I13" s="271">
        <f>'Comps valution'!G11</f>
        <v>1953988</v>
      </c>
      <c r="J13" s="271">
        <f>'Comps valution'!H11</f>
        <v>58</v>
      </c>
      <c r="K13" s="271">
        <v>0.1</v>
      </c>
      <c r="L13" s="271">
        <f t="shared" si="1"/>
        <v>2.9682003391936527E-5</v>
      </c>
      <c r="M13" s="271">
        <v>0.254</v>
      </c>
      <c r="N13" s="271">
        <v>1.2E-2</v>
      </c>
      <c r="O13" s="271">
        <v>1.19</v>
      </c>
    </row>
    <row r="14" spans="1:15" x14ac:dyDescent="0.3">
      <c r="B14" s="271" t="s">
        <v>287</v>
      </c>
      <c r="C14" s="271"/>
      <c r="D14" s="271"/>
      <c r="E14" s="271"/>
      <c r="F14" s="271"/>
      <c r="G14" s="271"/>
      <c r="H14" s="271"/>
      <c r="I14" s="271">
        <f>'Comps valution'!G12</f>
        <v>1287713</v>
      </c>
      <c r="J14" s="271">
        <f>'Comps valution'!H12</f>
        <v>180</v>
      </c>
      <c r="K14" s="271">
        <v>0.1</v>
      </c>
      <c r="L14" s="271">
        <f t="shared" si="1"/>
        <v>1.3976316355473629E-4</v>
      </c>
      <c r="M14" s="271">
        <v>0.25900000000000001</v>
      </c>
      <c r="N14" s="271">
        <v>6.0000000000000001E-3</v>
      </c>
      <c r="O14" s="271">
        <v>0.75</v>
      </c>
    </row>
    <row r="15" spans="1:15" x14ac:dyDescent="0.3">
      <c r="B15" s="271" t="s">
        <v>289</v>
      </c>
      <c r="C15" s="271"/>
      <c r="D15" s="271"/>
      <c r="E15" s="271"/>
      <c r="F15" s="271"/>
      <c r="G15" s="271"/>
      <c r="H15" s="271"/>
      <c r="I15" s="271">
        <f>'Comps valution'!G13</f>
        <v>1163275</v>
      </c>
      <c r="J15" s="271">
        <f>'Comps valution'!H13</f>
        <v>1865</v>
      </c>
      <c r="K15" s="271">
        <v>0.25</v>
      </c>
      <c r="L15" s="271">
        <f t="shared" si="1"/>
        <v>1.6006660143845376E-3</v>
      </c>
      <c r="M15" s="271">
        <v>0.255</v>
      </c>
      <c r="N15" s="271">
        <v>1.4999999999999999E-2</v>
      </c>
      <c r="O15" s="271">
        <v>0.79</v>
      </c>
    </row>
    <row r="16" spans="1:15" x14ac:dyDescent="0.3">
      <c r="L16" s="151"/>
      <c r="N16" s="44"/>
      <c r="O16" s="45"/>
    </row>
    <row r="17" spans="2:15" ht="15.6" x14ac:dyDescent="0.3">
      <c r="B17" s="159" t="s">
        <v>291</v>
      </c>
      <c r="C17" s="160"/>
      <c r="D17" s="160"/>
      <c r="E17" s="160"/>
      <c r="F17" s="160"/>
      <c r="G17" s="161"/>
      <c r="H17" s="54"/>
      <c r="I17" s="54"/>
      <c r="J17" s="54"/>
      <c r="K17" s="163">
        <f>AVERAGE(K10:K15)</f>
        <v>9.1674131427767591E-2</v>
      </c>
      <c r="L17" s="163">
        <f>AVERAGE(L10:L15)</f>
        <v>3.2092111813757784E-4</v>
      </c>
      <c r="M17" s="163">
        <f t="shared" ref="M17:O17" si="2">AVERAGE(M10:M15)</f>
        <v>0.25666666666666665</v>
      </c>
      <c r="N17" s="164">
        <f t="shared" si="2"/>
        <v>6.1666666666666667E-3</v>
      </c>
      <c r="O17" s="164">
        <f t="shared" si="2"/>
        <v>0.92166666666666675</v>
      </c>
    </row>
    <row r="18" spans="2:15" ht="15.6" x14ac:dyDescent="0.3">
      <c r="B18" s="159" t="s">
        <v>292</v>
      </c>
      <c r="C18" s="162"/>
      <c r="D18" s="160"/>
      <c r="E18" s="160"/>
      <c r="F18" s="160"/>
      <c r="G18" s="161"/>
      <c r="H18" s="54"/>
      <c r="I18" s="54"/>
      <c r="J18" s="54"/>
      <c r="K18" s="163">
        <f>MEDIAN(K10:K15)</f>
        <v>0.1</v>
      </c>
      <c r="L18" s="163">
        <f t="shared" ref="L18:O18" si="3">MEDIAN(L10:L15)</f>
        <v>7.6499404316587779E-5</v>
      </c>
      <c r="M18" s="163">
        <f t="shared" si="3"/>
        <v>0.25650000000000001</v>
      </c>
      <c r="N18" s="165">
        <f t="shared" si="3"/>
        <v>4.0000000000000001E-3</v>
      </c>
      <c r="O18" s="165">
        <f t="shared" si="3"/>
        <v>0.875</v>
      </c>
    </row>
    <row r="20" spans="2:15" ht="15.6" x14ac:dyDescent="0.3">
      <c r="B20" s="353" t="s">
        <v>314</v>
      </c>
      <c r="C20" s="353"/>
      <c r="D20" s="353"/>
      <c r="E20" s="353"/>
      <c r="F20" s="353"/>
      <c r="G20" s="353"/>
      <c r="H20" s="353"/>
      <c r="I20" s="166">
        <f>'Comps valution'!G18</f>
        <v>3424265</v>
      </c>
      <c r="J20" s="166">
        <f>'Comps valution'!H18</f>
        <v>589</v>
      </c>
      <c r="K20" s="35"/>
      <c r="L20" s="35"/>
      <c r="M20" s="35"/>
      <c r="N20" s="35"/>
      <c r="O20" s="35"/>
    </row>
    <row r="22" spans="2:15" ht="15.6" x14ac:dyDescent="0.3">
      <c r="B22" s="167" t="s">
        <v>315</v>
      </c>
      <c r="C22" s="167"/>
      <c r="D22" s="167"/>
      <c r="E22" s="167"/>
      <c r="F22" s="167"/>
      <c r="G22" s="167"/>
      <c r="H22" s="167"/>
      <c r="I22" s="168"/>
    </row>
    <row r="24" spans="2:15" ht="15.6" x14ac:dyDescent="0.3">
      <c r="B24" s="169" t="s">
        <v>316</v>
      </c>
      <c r="C24" s="170"/>
      <c r="D24" s="170"/>
      <c r="E24" s="170"/>
      <c r="F24" s="170"/>
      <c r="G24" s="171"/>
    </row>
    <row r="26" spans="2:15" x14ac:dyDescent="0.3">
      <c r="B26" s="271" t="s">
        <v>317</v>
      </c>
      <c r="C26" s="271"/>
      <c r="D26" s="271"/>
      <c r="E26" s="271"/>
      <c r="F26" s="271"/>
      <c r="G26" s="271">
        <f>L18</f>
        <v>7.6499404316587779E-5</v>
      </c>
    </row>
    <row r="27" spans="2:15" x14ac:dyDescent="0.3">
      <c r="B27" s="271" t="s">
        <v>318</v>
      </c>
      <c r="C27" s="271"/>
      <c r="D27" s="271"/>
      <c r="E27" s="271"/>
      <c r="F27" s="271"/>
      <c r="G27" s="271">
        <f>1-G26</f>
        <v>0.99992350059568347</v>
      </c>
    </row>
    <row r="29" spans="2:15" ht="15.6" x14ac:dyDescent="0.3">
      <c r="B29" s="173" t="s">
        <v>319</v>
      </c>
      <c r="C29" s="170"/>
      <c r="D29" s="77"/>
      <c r="E29" s="77"/>
      <c r="F29" s="77"/>
      <c r="G29" s="77"/>
    </row>
    <row r="30" spans="2:15" x14ac:dyDescent="0.3">
      <c r="B30" s="271" t="s">
        <v>263</v>
      </c>
      <c r="C30" s="271"/>
      <c r="D30" s="271"/>
      <c r="E30" s="271"/>
      <c r="F30" s="271"/>
      <c r="G30" s="271">
        <f>I20</f>
        <v>3424265</v>
      </c>
    </row>
    <row r="31" spans="2:15" x14ac:dyDescent="0.3">
      <c r="B31" s="271" t="s">
        <v>320</v>
      </c>
      <c r="C31" s="271"/>
      <c r="D31" s="271"/>
      <c r="E31" s="271"/>
      <c r="F31" s="271"/>
      <c r="G31" s="271">
        <f>J20</f>
        <v>589</v>
      </c>
    </row>
    <row r="32" spans="2:15" x14ac:dyDescent="0.3">
      <c r="B32" s="271" t="s">
        <v>321</v>
      </c>
      <c r="C32" s="271"/>
      <c r="D32" s="271"/>
      <c r="E32" s="271"/>
      <c r="F32" s="271"/>
      <c r="G32" s="314">
        <v>2.0000000000000001E-4</v>
      </c>
    </row>
    <row r="33" spans="2:7" ht="15.6" x14ac:dyDescent="0.3">
      <c r="B33" s="172"/>
      <c r="C33" s="172"/>
    </row>
    <row r="34" spans="2:7" ht="15.6" x14ac:dyDescent="0.3">
      <c r="B34" s="173" t="s">
        <v>479</v>
      </c>
      <c r="C34" s="170"/>
      <c r="D34" s="77"/>
      <c r="E34" s="77"/>
      <c r="F34" s="77"/>
      <c r="G34" s="77"/>
    </row>
    <row r="35" spans="2:7" x14ac:dyDescent="0.3">
      <c r="B35" s="271" t="s">
        <v>480</v>
      </c>
      <c r="C35" s="271"/>
      <c r="D35" s="271"/>
      <c r="E35" s="271"/>
      <c r="F35" s="271"/>
      <c r="G35" s="271">
        <v>8.1900000000000001E-2</v>
      </c>
    </row>
    <row r="36" spans="2:7" x14ac:dyDescent="0.3">
      <c r="B36" s="271" t="s">
        <v>322</v>
      </c>
      <c r="C36" s="271"/>
      <c r="D36" s="271"/>
      <c r="E36" s="271"/>
      <c r="F36" s="271"/>
      <c r="G36" s="271">
        <v>0.255</v>
      </c>
    </row>
    <row r="37" spans="2:7" x14ac:dyDescent="0.3">
      <c r="B37" s="271" t="s">
        <v>481</v>
      </c>
      <c r="C37" s="271"/>
      <c r="D37" s="271"/>
      <c r="E37" s="271"/>
      <c r="F37" s="271"/>
      <c r="G37" s="314">
        <v>6.0999999999999999E-2</v>
      </c>
    </row>
    <row r="39" spans="2:7" ht="15.6" x14ac:dyDescent="0.3">
      <c r="B39" s="173" t="s">
        <v>482</v>
      </c>
      <c r="C39" s="170"/>
      <c r="D39" s="77"/>
      <c r="E39" s="77"/>
      <c r="F39" s="77"/>
      <c r="G39" s="77"/>
    </row>
    <row r="40" spans="2:7" x14ac:dyDescent="0.3">
      <c r="B40" s="271" t="s">
        <v>323</v>
      </c>
      <c r="C40" s="271"/>
      <c r="D40" s="271"/>
      <c r="E40" s="271"/>
      <c r="F40" s="271"/>
      <c r="G40" s="271">
        <v>7.1900000000000006E-2</v>
      </c>
    </row>
    <row r="41" spans="2:7" x14ac:dyDescent="0.3">
      <c r="B41" s="271" t="s">
        <v>255</v>
      </c>
      <c r="C41" s="271"/>
      <c r="D41" s="271"/>
      <c r="E41" s="271"/>
      <c r="F41" s="271"/>
      <c r="G41" s="271">
        <v>0.13500000000000001</v>
      </c>
    </row>
    <row r="42" spans="2:7" x14ac:dyDescent="0.3">
      <c r="B42" s="271" t="s">
        <v>483</v>
      </c>
      <c r="C42" s="271"/>
      <c r="D42" s="271"/>
      <c r="E42" s="271"/>
      <c r="F42" s="271"/>
      <c r="G42" s="314">
        <v>6.3100000000000003E-2</v>
      </c>
    </row>
    <row r="43" spans="2:7" x14ac:dyDescent="0.3">
      <c r="B43" s="271" t="s">
        <v>484</v>
      </c>
      <c r="C43" s="271"/>
      <c r="D43" s="271"/>
      <c r="E43" s="271"/>
      <c r="F43" s="271"/>
      <c r="G43" s="308">
        <f>N17</f>
        <v>6.1666666666666667E-3</v>
      </c>
    </row>
    <row r="44" spans="2:7" x14ac:dyDescent="0.3">
      <c r="B44" s="271" t="s">
        <v>485</v>
      </c>
      <c r="C44" s="271"/>
      <c r="D44" s="271"/>
      <c r="E44" s="271"/>
      <c r="F44" s="271"/>
      <c r="G44" s="308">
        <f>O17</f>
        <v>0.92166666666666675</v>
      </c>
    </row>
    <row r="45" spans="2:7" x14ac:dyDescent="0.3">
      <c r="B45" s="271" t="s">
        <v>486</v>
      </c>
      <c r="C45" s="271"/>
      <c r="D45" s="271"/>
      <c r="E45" s="271"/>
      <c r="F45" s="271"/>
      <c r="G45" s="314">
        <v>0.12709999999999999</v>
      </c>
    </row>
    <row r="46" spans="2:7" x14ac:dyDescent="0.3">
      <c r="B46" s="271"/>
      <c r="C46" s="271"/>
      <c r="D46" s="271"/>
      <c r="E46" s="271"/>
      <c r="F46" s="271"/>
      <c r="G46" s="271"/>
    </row>
    <row r="48" spans="2:7" ht="15.6" x14ac:dyDescent="0.3">
      <c r="B48" s="173" t="s">
        <v>487</v>
      </c>
      <c r="C48" s="170"/>
      <c r="D48" s="77"/>
      <c r="E48" s="77"/>
      <c r="F48" s="77"/>
      <c r="G48" s="77"/>
    </row>
    <row r="49" spans="2:7" ht="21" customHeight="1" x14ac:dyDescent="0.3">
      <c r="B49" s="271" t="s">
        <v>488</v>
      </c>
      <c r="C49" s="271"/>
      <c r="D49" s="271"/>
      <c r="E49" s="271"/>
      <c r="F49" s="271"/>
      <c r="G49" s="314">
        <f>(G45*99.98%)+(WACC!G37*(1-WACC!G36)*0.02%)</f>
        <v>0.12708366899999998</v>
      </c>
    </row>
  </sheetData>
  <mergeCells count="5">
    <mergeCell ref="B7:O7"/>
    <mergeCell ref="B20:H20"/>
    <mergeCell ref="C1:O1"/>
    <mergeCell ref="B3:O3"/>
    <mergeCell ref="B4:O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B7B35-DFBF-4A95-8C05-ADA99A0E7B35}">
  <sheetPr>
    <tabColor theme="0" tint="-0.34998626667073579"/>
  </sheetPr>
  <dimension ref="C6:E29"/>
  <sheetViews>
    <sheetView workbookViewId="0">
      <selection activeCell="I13" sqref="I13"/>
    </sheetView>
  </sheetViews>
  <sheetFormatPr defaultRowHeight="14.4" x14ac:dyDescent="0.3"/>
  <cols>
    <col min="3" max="3" width="39.33203125" customWidth="1"/>
    <col min="4" max="4" width="29.77734375" customWidth="1"/>
    <col min="5" max="5" width="28.21875" customWidth="1"/>
  </cols>
  <sheetData>
    <row r="6" spans="3:5" x14ac:dyDescent="0.3">
      <c r="C6" s="43"/>
      <c r="D6" s="43"/>
      <c r="E6" s="43"/>
    </row>
    <row r="7" spans="3:5" x14ac:dyDescent="0.3">
      <c r="C7" s="45"/>
      <c r="D7" s="44"/>
      <c r="E7" s="315"/>
    </row>
    <row r="8" spans="3:5" x14ac:dyDescent="0.3">
      <c r="C8" s="44"/>
      <c r="D8" s="44"/>
      <c r="E8" s="315"/>
    </row>
    <row r="9" spans="3:5" x14ac:dyDescent="0.3">
      <c r="C9" s="45"/>
      <c r="D9" s="44"/>
      <c r="E9" s="44"/>
    </row>
    <row r="10" spans="3:5" x14ac:dyDescent="0.3">
      <c r="C10" s="44"/>
      <c r="D10" s="44"/>
      <c r="E10" s="44"/>
    </row>
    <row r="11" spans="3:5" x14ac:dyDescent="0.3">
      <c r="C11" s="44"/>
      <c r="D11" s="44"/>
      <c r="E11" s="315"/>
    </row>
    <row r="12" spans="3:5" x14ac:dyDescent="0.3">
      <c r="C12" s="45"/>
      <c r="D12" s="44"/>
      <c r="E12" s="315"/>
    </row>
    <row r="13" spans="3:5" x14ac:dyDescent="0.3">
      <c r="C13" s="44"/>
      <c r="D13" s="44"/>
      <c r="E13" s="315"/>
    </row>
    <row r="14" spans="3:5" x14ac:dyDescent="0.3">
      <c r="C14" s="44"/>
      <c r="D14" s="44"/>
      <c r="E14" s="315"/>
    </row>
    <row r="15" spans="3:5" x14ac:dyDescent="0.3">
      <c r="C15" s="45"/>
      <c r="D15" s="44"/>
      <c r="E15" s="315"/>
    </row>
    <row r="16" spans="3:5" x14ac:dyDescent="0.3">
      <c r="C16" s="44"/>
      <c r="D16" s="44"/>
      <c r="E16" s="315"/>
    </row>
    <row r="17" spans="3:5" x14ac:dyDescent="0.3">
      <c r="C17" s="44"/>
      <c r="D17" s="44"/>
      <c r="E17" s="315"/>
    </row>
    <row r="18" spans="3:5" x14ac:dyDescent="0.3">
      <c r="C18" s="44"/>
      <c r="D18" s="44"/>
      <c r="E18" s="44"/>
    </row>
    <row r="19" spans="3:5" x14ac:dyDescent="0.3">
      <c r="C19" s="44"/>
      <c r="D19" s="44"/>
      <c r="E19" s="44"/>
    </row>
    <row r="20" spans="3:5" x14ac:dyDescent="0.3">
      <c r="C20" s="44"/>
      <c r="D20" s="44"/>
      <c r="E20" s="315"/>
    </row>
    <row r="21" spans="3:5" x14ac:dyDescent="0.3">
      <c r="C21" s="45"/>
      <c r="D21" s="44"/>
      <c r="E21" s="315"/>
    </row>
    <row r="24" spans="3:5" x14ac:dyDescent="0.3">
      <c r="C24" s="43"/>
      <c r="D24" s="43"/>
      <c r="E24" s="43"/>
    </row>
    <row r="25" spans="3:5" x14ac:dyDescent="0.3">
      <c r="C25" s="44"/>
      <c r="D25" s="44"/>
      <c r="E25" s="315"/>
    </row>
    <row r="26" spans="3:5" x14ac:dyDescent="0.3">
      <c r="C26" s="44"/>
      <c r="D26" s="44"/>
      <c r="E26" s="315"/>
    </row>
    <row r="27" spans="3:5" x14ac:dyDescent="0.3">
      <c r="C27" s="44"/>
      <c r="D27" s="44"/>
      <c r="E27" s="315"/>
    </row>
    <row r="28" spans="3:5" x14ac:dyDescent="0.3">
      <c r="C28" s="44"/>
      <c r="D28" s="44"/>
      <c r="E28" s="44"/>
    </row>
    <row r="29" spans="3:5" x14ac:dyDescent="0.3">
      <c r="C29" s="44"/>
      <c r="D29" s="44"/>
      <c r="E29" s="3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75771-BAB5-4316-903F-28F05B212301}">
  <sheetPr>
    <tabColor theme="0" tint="-0.34998626667073579"/>
  </sheetPr>
  <dimension ref="A1:AD454"/>
  <sheetViews>
    <sheetView showGridLines="0" zoomScaleNormal="107" workbookViewId="0">
      <pane ySplit="6" topLeftCell="A21" activePane="bottomLeft" state="frozen"/>
      <selection pane="bottomLeft" activeCell="I28" sqref="I28"/>
    </sheetView>
  </sheetViews>
  <sheetFormatPr defaultRowHeight="14.4" x14ac:dyDescent="0.3"/>
  <cols>
    <col min="1" max="1" width="2.33203125" customWidth="1"/>
    <col min="2" max="2" width="39.5546875" customWidth="1"/>
    <col min="4" max="4" width="12" bestFit="1" customWidth="1"/>
    <col min="5" max="8" width="13" bestFit="1" customWidth="1"/>
    <col min="9" max="9" width="17.21875" bestFit="1" customWidth="1"/>
    <col min="10" max="12" width="12.44140625" bestFit="1" customWidth="1"/>
    <col min="13" max="17" width="9" bestFit="1" customWidth="1"/>
    <col min="18" max="18" width="12.33203125" bestFit="1" customWidth="1"/>
  </cols>
  <sheetData>
    <row r="1" spans="1:30" s="33" customFormat="1" ht="61.8" customHeight="1" x14ac:dyDescent="1.2">
      <c r="A1" s="35"/>
      <c r="B1" s="334" t="s">
        <v>475</v>
      </c>
      <c r="C1" s="334"/>
      <c r="D1" s="334"/>
      <c r="E1" s="334"/>
      <c r="F1" s="334"/>
      <c r="G1" s="334"/>
      <c r="H1" s="334"/>
      <c r="I1" s="334"/>
      <c r="J1" s="334"/>
      <c r="K1" s="334"/>
      <c r="L1" s="334"/>
      <c r="M1" s="334"/>
      <c r="N1" s="334"/>
      <c r="O1" s="334"/>
      <c r="P1" s="35"/>
      <c r="Q1" s="35"/>
      <c r="R1" s="35"/>
      <c r="S1" s="35"/>
    </row>
    <row r="3" spans="1:30" x14ac:dyDescent="0.3">
      <c r="A3" s="357" t="s">
        <v>324</v>
      </c>
      <c r="B3" s="357"/>
      <c r="C3" s="357"/>
      <c r="D3" s="356" t="s">
        <v>325</v>
      </c>
      <c r="E3" s="356"/>
      <c r="F3" s="356"/>
      <c r="G3" s="356"/>
      <c r="H3" s="356"/>
      <c r="I3" s="358" t="s">
        <v>326</v>
      </c>
      <c r="J3" s="358"/>
      <c r="K3" s="358"/>
      <c r="L3" s="358"/>
      <c r="M3" s="358"/>
      <c r="N3" s="358"/>
      <c r="O3" s="358"/>
      <c r="P3" s="358"/>
      <c r="Q3" s="358"/>
      <c r="R3" s="358"/>
      <c r="S3" s="358"/>
      <c r="T3" s="32"/>
      <c r="U3" s="32"/>
      <c r="V3" s="32"/>
      <c r="W3" s="32"/>
    </row>
    <row r="4" spans="1:30" x14ac:dyDescent="0.3">
      <c r="A4" s="357"/>
      <c r="B4" s="357"/>
      <c r="C4" s="357"/>
      <c r="D4" s="356"/>
      <c r="E4" s="356"/>
      <c r="F4" s="356"/>
      <c r="G4" s="356"/>
      <c r="H4" s="356"/>
      <c r="I4" s="358"/>
      <c r="J4" s="358"/>
      <c r="K4" s="358"/>
      <c r="L4" s="358"/>
      <c r="M4" s="358"/>
      <c r="N4" s="358"/>
      <c r="O4" s="358"/>
      <c r="P4" s="358"/>
      <c r="Q4" s="358"/>
      <c r="R4" s="358"/>
      <c r="S4" s="358"/>
      <c r="T4" s="32"/>
      <c r="U4" s="32"/>
      <c r="V4" s="32"/>
      <c r="W4" s="32"/>
    </row>
    <row r="5" spans="1:30" s="59" customFormat="1" ht="16.05" customHeight="1" x14ac:dyDescent="0.3">
      <c r="A5" s="357"/>
      <c r="B5" s="357"/>
      <c r="C5" s="357"/>
      <c r="D5" s="177">
        <f>'Historical CF'!F3</f>
        <v>44286</v>
      </c>
      <c r="E5" s="177">
        <f>'Historical CF'!G3</f>
        <v>44651</v>
      </c>
      <c r="F5" s="177">
        <f>'Historical CF'!H3</f>
        <v>45016</v>
      </c>
      <c r="G5" s="177">
        <f>'Historical CF'!I3</f>
        <v>45382</v>
      </c>
      <c r="H5" s="177">
        <f>'Historical CF'!J3</f>
        <v>45747</v>
      </c>
      <c r="I5" s="174">
        <v>46221</v>
      </c>
      <c r="J5" s="174">
        <v>46587</v>
      </c>
      <c r="K5" s="174">
        <v>46954</v>
      </c>
      <c r="L5" s="174">
        <v>47320</v>
      </c>
      <c r="M5" s="174">
        <v>47686</v>
      </c>
      <c r="N5" s="174">
        <v>48052</v>
      </c>
      <c r="O5" s="174">
        <v>48418</v>
      </c>
      <c r="P5" s="174">
        <v>48784</v>
      </c>
      <c r="Q5" s="174">
        <v>49150</v>
      </c>
      <c r="R5" s="174">
        <v>49516</v>
      </c>
      <c r="S5" s="178"/>
      <c r="T5" s="175"/>
      <c r="U5" s="175"/>
      <c r="V5" s="175"/>
      <c r="W5" s="176"/>
    </row>
    <row r="6" spans="1:30" s="180" customFormat="1" ht="16.05" customHeight="1" x14ac:dyDescent="0.3">
      <c r="A6" s="179"/>
      <c r="B6" s="181" t="s">
        <v>327</v>
      </c>
      <c r="C6" s="182"/>
      <c r="D6" s="183"/>
      <c r="E6" s="183"/>
      <c r="F6" s="183"/>
      <c r="G6" s="183"/>
      <c r="H6" s="183"/>
      <c r="I6" s="183"/>
      <c r="J6" s="183"/>
      <c r="K6" s="183"/>
      <c r="L6" s="183"/>
      <c r="M6" s="183"/>
      <c r="N6" s="183"/>
      <c r="O6" s="183"/>
      <c r="P6" s="183"/>
      <c r="Q6" s="183"/>
      <c r="R6" s="183"/>
      <c r="U6" s="183"/>
      <c r="V6" s="183"/>
    </row>
    <row r="7" spans="1:30" x14ac:dyDescent="0.3">
      <c r="T7" s="32"/>
      <c r="U7" s="32"/>
      <c r="V7" s="32"/>
      <c r="W7" s="32"/>
    </row>
    <row r="8" spans="1:30" s="188" customFormat="1" ht="19.95" customHeight="1" x14ac:dyDescent="0.4">
      <c r="A8" s="187" t="s">
        <v>328</v>
      </c>
      <c r="H8" s="189"/>
      <c r="I8" s="189"/>
      <c r="J8" s="189"/>
      <c r="K8" s="189"/>
      <c r="L8" s="189"/>
      <c r="M8" s="189"/>
      <c r="N8" s="189"/>
      <c r="O8" s="189"/>
      <c r="P8" s="189"/>
      <c r="Q8" s="189"/>
      <c r="R8" s="189"/>
      <c r="S8" s="189"/>
      <c r="T8" s="189"/>
      <c r="U8" s="189"/>
      <c r="V8" s="189"/>
      <c r="AA8" s="54"/>
      <c r="AB8" s="54"/>
      <c r="AC8" s="54"/>
      <c r="AD8" s="54"/>
    </row>
    <row r="10" spans="1:30" x14ac:dyDescent="0.3">
      <c r="B10" s="190" t="s">
        <v>329</v>
      </c>
      <c r="I10" s="203"/>
      <c r="J10" s="203"/>
      <c r="K10" s="203"/>
      <c r="L10" s="203"/>
      <c r="M10" s="203"/>
      <c r="N10" s="203"/>
      <c r="O10" s="203"/>
      <c r="P10" s="203"/>
      <c r="Q10" s="203"/>
      <c r="R10" s="203"/>
    </row>
    <row r="11" spans="1:30" x14ac:dyDescent="0.3">
      <c r="B11" s="274" t="s">
        <v>330</v>
      </c>
      <c r="C11" s="274" t="s">
        <v>363</v>
      </c>
      <c r="D11" s="275"/>
      <c r="E11" s="275">
        <f>E27/D27-1</f>
        <v>8.8875505463305471E-2</v>
      </c>
      <c r="F11" s="275">
        <f>F27/E27-1</f>
        <v>0.15231007930122975</v>
      </c>
      <c r="G11" s="275">
        <f>G27/F27-1</f>
        <v>0.14298772540263616</v>
      </c>
      <c r="H11" s="275">
        <f>H27/G27-1</f>
        <v>0.17296606392161595</v>
      </c>
      <c r="I11" s="276">
        <f>Assumptions!AO12</f>
        <v>0.18</v>
      </c>
      <c r="J11" s="276">
        <f>Assumptions!AP12</f>
        <v>0.17</v>
      </c>
      <c r="K11" s="276">
        <f>Assumptions!AQ12</f>
        <v>0.17</v>
      </c>
      <c r="L11" s="276">
        <f>Assumptions!AR12</f>
        <v>0.16</v>
      </c>
      <c r="M11" s="276">
        <f>Assumptions!AS12</f>
        <v>0.15</v>
      </c>
      <c r="N11" s="276">
        <f>Assumptions!AT12</f>
        <v>0.14499999999999999</v>
      </c>
      <c r="O11" s="276">
        <f>Assumptions!AU12</f>
        <v>0.14000000000000001</v>
      </c>
      <c r="P11" s="276">
        <f>Assumptions!AV12</f>
        <v>0.13500000000000001</v>
      </c>
      <c r="Q11" s="276">
        <f>Assumptions!AW12</f>
        <v>0.13</v>
      </c>
      <c r="R11" s="276">
        <f>Assumptions!AX12</f>
        <v>0.125</v>
      </c>
    </row>
    <row r="12" spans="1:30" x14ac:dyDescent="0.3">
      <c r="B12" s="271" t="s">
        <v>331</v>
      </c>
      <c r="C12" s="271" t="s">
        <v>363</v>
      </c>
      <c r="D12" s="277">
        <f>-D28/D27</f>
        <v>0.57222961312814502</v>
      </c>
      <c r="E12" s="277">
        <f>-E28/E27</f>
        <v>0.61557710190051296</v>
      </c>
      <c r="F12" s="277">
        <f t="shared" ref="F12:H12" si="0">-F28/F27</f>
        <v>0.60090784418175014</v>
      </c>
      <c r="G12" s="277">
        <f t="shared" si="0"/>
        <v>0.57944489149151268</v>
      </c>
      <c r="H12" s="277">
        <f t="shared" si="0"/>
        <v>0.58342354238585581</v>
      </c>
      <c r="I12" s="278">
        <f>AVERAGE(F12:H12)</f>
        <v>0.58792542601970621</v>
      </c>
      <c r="J12" s="279">
        <f>I12</f>
        <v>0.58792542601970621</v>
      </c>
      <c r="K12" s="279">
        <f t="shared" ref="K12:R12" si="1">J12</f>
        <v>0.58792542601970621</v>
      </c>
      <c r="L12" s="279">
        <f t="shared" si="1"/>
        <v>0.58792542601970621</v>
      </c>
      <c r="M12" s="279">
        <f t="shared" si="1"/>
        <v>0.58792542601970621</v>
      </c>
      <c r="N12" s="279">
        <f t="shared" si="1"/>
        <v>0.58792542601970621</v>
      </c>
      <c r="O12" s="279">
        <f t="shared" si="1"/>
        <v>0.58792542601970621</v>
      </c>
      <c r="P12" s="279">
        <f t="shared" si="1"/>
        <v>0.58792542601970621</v>
      </c>
      <c r="Q12" s="279">
        <f t="shared" si="1"/>
        <v>0.58792542601970621</v>
      </c>
      <c r="R12" s="279">
        <f t="shared" si="1"/>
        <v>0.58792542601970621</v>
      </c>
    </row>
    <row r="13" spans="1:30" x14ac:dyDescent="0.3">
      <c r="B13" s="271" t="s">
        <v>332</v>
      </c>
      <c r="C13" s="271" t="s">
        <v>363</v>
      </c>
      <c r="D13" s="277">
        <f>-D31/D27</f>
        <v>0.13799086024219576</v>
      </c>
      <c r="E13" s="277">
        <f t="shared" ref="E13:H13" si="2">-E31/E27</f>
        <v>0.13774474720773996</v>
      </c>
      <c r="F13" s="277">
        <f t="shared" si="2"/>
        <v>0.13021103693713093</v>
      </c>
      <c r="G13" s="277">
        <f t="shared" si="2"/>
        <v>0.12229918703540364</v>
      </c>
      <c r="H13" s="277">
        <f t="shared" si="2"/>
        <v>0.11557861375491853</v>
      </c>
      <c r="I13" s="278">
        <f>H13</f>
        <v>0.11557861375491853</v>
      </c>
      <c r="J13" s="278">
        <f t="shared" ref="J13:R13" si="3">I13</f>
        <v>0.11557861375491853</v>
      </c>
      <c r="K13" s="278">
        <f t="shared" si="3"/>
        <v>0.11557861375491853</v>
      </c>
      <c r="L13" s="278">
        <f t="shared" si="3"/>
        <v>0.11557861375491853</v>
      </c>
      <c r="M13" s="278">
        <f t="shared" si="3"/>
        <v>0.11557861375491853</v>
      </c>
      <c r="N13" s="278">
        <f t="shared" si="3"/>
        <v>0.11557861375491853</v>
      </c>
      <c r="O13" s="278">
        <f t="shared" si="3"/>
        <v>0.11557861375491853</v>
      </c>
      <c r="P13" s="278">
        <f t="shared" si="3"/>
        <v>0.11557861375491853</v>
      </c>
      <c r="Q13" s="278">
        <f t="shared" si="3"/>
        <v>0.11557861375491853</v>
      </c>
      <c r="R13" s="278">
        <f t="shared" si="3"/>
        <v>0.11557861375491853</v>
      </c>
    </row>
    <row r="14" spans="1:30" x14ac:dyDescent="0.3">
      <c r="B14" s="271" t="s">
        <v>333</v>
      </c>
      <c r="C14" s="271" t="s">
        <v>363</v>
      </c>
      <c r="D14" s="277">
        <f>-D22/D27</f>
        <v>-4.0233353450010053E-6</v>
      </c>
      <c r="E14" s="277">
        <f t="shared" ref="E14:H14" si="4">-E22/E27</f>
        <v>-3.9850639802022024E-6</v>
      </c>
      <c r="F14" s="277">
        <f t="shared" si="4"/>
        <v>-3.7115253998240736E-6</v>
      </c>
      <c r="G14" s="277">
        <f t="shared" si="4"/>
        <v>-3.5861960143017498E-6</v>
      </c>
      <c r="H14" s="277">
        <f t="shared" si="4"/>
        <v>-3.120582425503896E-6</v>
      </c>
      <c r="I14" s="278">
        <f>H14</f>
        <v>-3.120582425503896E-6</v>
      </c>
      <c r="J14" s="278">
        <f t="shared" ref="J14:R14" si="5">I14</f>
        <v>-3.120582425503896E-6</v>
      </c>
      <c r="K14" s="278">
        <f t="shared" si="5"/>
        <v>-3.120582425503896E-6</v>
      </c>
      <c r="L14" s="278">
        <f t="shared" si="5"/>
        <v>-3.120582425503896E-6</v>
      </c>
      <c r="M14" s="278">
        <f t="shared" si="5"/>
        <v>-3.120582425503896E-6</v>
      </c>
      <c r="N14" s="278">
        <f t="shared" si="5"/>
        <v>-3.120582425503896E-6</v>
      </c>
      <c r="O14" s="278">
        <f t="shared" si="5"/>
        <v>-3.120582425503896E-6</v>
      </c>
      <c r="P14" s="278">
        <f t="shared" si="5"/>
        <v>-3.120582425503896E-6</v>
      </c>
      <c r="Q14" s="278">
        <f t="shared" si="5"/>
        <v>-3.120582425503896E-6</v>
      </c>
      <c r="R14" s="278">
        <f t="shared" si="5"/>
        <v>-3.120582425503896E-6</v>
      </c>
    </row>
    <row r="15" spans="1:30" x14ac:dyDescent="0.3">
      <c r="B15" s="271" t="s">
        <v>334</v>
      </c>
      <c r="C15" s="271" t="s">
        <v>363</v>
      </c>
      <c r="D15" s="277">
        <f>-D34/D27</f>
        <v>2.6047669802607112E-2</v>
      </c>
      <c r="E15" s="277">
        <f t="shared" ref="E15:H15" si="6">-E34/E27</f>
        <v>2.4826038804317163E-2</v>
      </c>
      <c r="F15" s="277">
        <f t="shared" si="6"/>
        <v>2.3113758202899209E-2</v>
      </c>
      <c r="G15" s="277">
        <f t="shared" si="6"/>
        <v>2.0448313012936932E-2</v>
      </c>
      <c r="H15" s="277">
        <f t="shared" si="6"/>
        <v>1.8411523200810211E-2</v>
      </c>
      <c r="I15" s="278">
        <f>H15+1%</f>
        <v>2.841152320081021E-2</v>
      </c>
      <c r="J15" s="279">
        <f>I15</f>
        <v>2.841152320081021E-2</v>
      </c>
      <c r="K15" s="278">
        <f>J15+1%</f>
        <v>3.8411523200810212E-2</v>
      </c>
      <c r="L15" s="279">
        <f>K15</f>
        <v>3.8411523200810212E-2</v>
      </c>
      <c r="M15" s="278">
        <f>L15+1%</f>
        <v>4.8411523200810214E-2</v>
      </c>
      <c r="N15" s="279">
        <f>M15</f>
        <v>4.8411523200810214E-2</v>
      </c>
      <c r="O15" s="278">
        <f>N15+1%</f>
        <v>5.8411523200810216E-2</v>
      </c>
      <c r="P15" s="279">
        <f>O15</f>
        <v>5.8411523200810216E-2</v>
      </c>
      <c r="Q15" s="278">
        <f>P15+1%</f>
        <v>6.8411523200810218E-2</v>
      </c>
      <c r="R15" s="279">
        <f>Q15</f>
        <v>6.8411523200810218E-2</v>
      </c>
    </row>
    <row r="16" spans="1:30" x14ac:dyDescent="0.3">
      <c r="B16" s="271" t="s">
        <v>335</v>
      </c>
      <c r="C16" s="271" t="s">
        <v>363</v>
      </c>
      <c r="D16" s="277">
        <f>-D36/D27</f>
        <v>4.3231466819493693E-4</v>
      </c>
      <c r="E16" s="277">
        <f t="shared" ref="E16:H16" si="7">-E36/E27</f>
        <v>3.1670863328144103E-4</v>
      </c>
      <c r="F16" s="277">
        <f t="shared" si="7"/>
        <v>8.3814078951842321E-4</v>
      </c>
      <c r="G16" s="277">
        <f t="shared" si="7"/>
        <v>3.4805217212816053E-4</v>
      </c>
      <c r="H16" s="277">
        <f t="shared" si="7"/>
        <v>4.0620491748883357E-4</v>
      </c>
      <c r="I16" s="278">
        <f>H16</f>
        <v>4.0620491748883357E-4</v>
      </c>
      <c r="J16" s="278">
        <f t="shared" ref="J16:R16" si="8">I16</f>
        <v>4.0620491748883357E-4</v>
      </c>
      <c r="K16" s="278">
        <f t="shared" si="8"/>
        <v>4.0620491748883357E-4</v>
      </c>
      <c r="L16" s="278">
        <f t="shared" si="8"/>
        <v>4.0620491748883357E-4</v>
      </c>
      <c r="M16" s="278">
        <f t="shared" si="8"/>
        <v>4.0620491748883357E-4</v>
      </c>
      <c r="N16" s="278">
        <f t="shared" si="8"/>
        <v>4.0620491748883357E-4</v>
      </c>
      <c r="O16" s="278">
        <f t="shared" si="8"/>
        <v>4.0620491748883357E-4</v>
      </c>
      <c r="P16" s="278">
        <f t="shared" si="8"/>
        <v>4.0620491748883357E-4</v>
      </c>
      <c r="Q16" s="278">
        <f t="shared" si="8"/>
        <v>4.0620491748883357E-4</v>
      </c>
      <c r="R16" s="278">
        <f t="shared" si="8"/>
        <v>4.0620491748883357E-4</v>
      </c>
    </row>
    <row r="17" spans="1:22" x14ac:dyDescent="0.3">
      <c r="B17" s="271" t="s">
        <v>336</v>
      </c>
      <c r="C17" s="271" t="s">
        <v>363</v>
      </c>
      <c r="D17" s="277">
        <f>D37/D27</f>
        <v>8.9662631018719643E-3</v>
      </c>
      <c r="E17" s="277">
        <f t="shared" ref="E17:H17" si="9">E37/E27</f>
        <v>1.5253601989322022E-2</v>
      </c>
      <c r="F17" s="277">
        <f t="shared" si="9"/>
        <v>2.0402126236810193E-2</v>
      </c>
      <c r="G17" s="277">
        <f t="shared" si="9"/>
        <v>3.7474608800761949E-2</v>
      </c>
      <c r="H17" s="277">
        <f t="shared" si="9"/>
        <v>3.2445247930827655E-2</v>
      </c>
      <c r="I17" s="278">
        <f>H17</f>
        <v>3.2445247930827655E-2</v>
      </c>
      <c r="J17" s="278">
        <f t="shared" ref="J17:R18" si="10">I17</f>
        <v>3.2445247930827655E-2</v>
      </c>
      <c r="K17" s="278">
        <f t="shared" si="10"/>
        <v>3.2445247930827655E-2</v>
      </c>
      <c r="L17" s="278">
        <f t="shared" si="10"/>
        <v>3.2445247930827655E-2</v>
      </c>
      <c r="M17" s="278">
        <f t="shared" si="10"/>
        <v>3.2445247930827655E-2</v>
      </c>
      <c r="N17" s="278">
        <f t="shared" si="10"/>
        <v>3.2445247930827655E-2</v>
      </c>
      <c r="O17" s="278">
        <f t="shared" si="10"/>
        <v>3.2445247930827655E-2</v>
      </c>
      <c r="P17" s="278">
        <f t="shared" si="10"/>
        <v>3.2445247930827655E-2</v>
      </c>
      <c r="Q17" s="278">
        <f t="shared" si="10"/>
        <v>3.2445247930827655E-2</v>
      </c>
      <c r="R17" s="278">
        <f t="shared" si="10"/>
        <v>3.2445247930827655E-2</v>
      </c>
    </row>
    <row r="18" spans="1:22" x14ac:dyDescent="0.3">
      <c r="B18" s="271" t="s">
        <v>337</v>
      </c>
      <c r="C18" s="271" t="s">
        <v>363</v>
      </c>
      <c r="D18" s="277">
        <f>D45/D27</f>
        <v>0</v>
      </c>
      <c r="E18" s="277">
        <f t="shared" ref="E18:H18" si="11">E45/E27</f>
        <v>0</v>
      </c>
      <c r="F18" s="277">
        <f t="shared" si="11"/>
        <v>0</v>
      </c>
      <c r="G18" s="277">
        <f t="shared" si="11"/>
        <v>0</v>
      </c>
      <c r="H18" s="277">
        <f t="shared" si="11"/>
        <v>0</v>
      </c>
      <c r="I18" s="278">
        <f>H18</f>
        <v>0</v>
      </c>
      <c r="J18" s="278">
        <f t="shared" si="10"/>
        <v>0</v>
      </c>
      <c r="K18" s="278">
        <f t="shared" si="10"/>
        <v>0</v>
      </c>
      <c r="L18" s="278">
        <f t="shared" si="10"/>
        <v>0</v>
      </c>
      <c r="M18" s="278">
        <f t="shared" si="10"/>
        <v>0</v>
      </c>
      <c r="N18" s="278">
        <f t="shared" si="10"/>
        <v>0</v>
      </c>
      <c r="O18" s="278">
        <f t="shared" si="10"/>
        <v>0</v>
      </c>
      <c r="P18" s="278">
        <f t="shared" si="10"/>
        <v>0</v>
      </c>
      <c r="Q18" s="278">
        <f t="shared" si="10"/>
        <v>0</v>
      </c>
      <c r="R18" s="278">
        <f t="shared" si="10"/>
        <v>0</v>
      </c>
    </row>
    <row r="19" spans="1:22" x14ac:dyDescent="0.3">
      <c r="B19" s="271"/>
      <c r="C19" s="271"/>
      <c r="D19" s="277"/>
      <c r="E19" s="277"/>
      <c r="F19" s="277"/>
      <c r="G19" s="277"/>
      <c r="H19" s="277"/>
      <c r="I19" s="278"/>
      <c r="J19" s="280"/>
      <c r="K19" s="280"/>
      <c r="L19" s="280"/>
      <c r="M19" s="280"/>
      <c r="N19" s="280"/>
      <c r="O19" s="280"/>
      <c r="P19" s="280"/>
      <c r="Q19" s="280"/>
      <c r="R19" s="280"/>
    </row>
    <row r="20" spans="1:22" x14ac:dyDescent="0.3">
      <c r="B20" s="271" t="s">
        <v>45</v>
      </c>
      <c r="C20" s="271" t="s">
        <v>364</v>
      </c>
      <c r="D20" s="281">
        <f>-D70/D28*365</f>
        <v>225.31949342299828</v>
      </c>
      <c r="E20" s="281">
        <f t="shared" ref="E20:H20" si="12">-E70/E28*365</f>
        <v>216.51498917978532</v>
      </c>
      <c r="F20" s="281">
        <f t="shared" si="12"/>
        <v>221.95325422916818</v>
      </c>
      <c r="G20" s="281">
        <f t="shared" si="12"/>
        <v>232.57493122729861</v>
      </c>
      <c r="H20" s="281">
        <f t="shared" si="12"/>
        <v>241.14428109405159</v>
      </c>
      <c r="I20" s="282">
        <f>H20</f>
        <v>241.14428109405159</v>
      </c>
      <c r="J20" s="282">
        <f t="shared" ref="J20:R20" si="13">I20</f>
        <v>241.14428109405159</v>
      </c>
      <c r="K20" s="282">
        <f t="shared" si="13"/>
        <v>241.14428109405159</v>
      </c>
      <c r="L20" s="282">
        <f t="shared" si="13"/>
        <v>241.14428109405159</v>
      </c>
      <c r="M20" s="282">
        <f t="shared" si="13"/>
        <v>241.14428109405159</v>
      </c>
      <c r="N20" s="282">
        <f t="shared" si="13"/>
        <v>241.14428109405159</v>
      </c>
      <c r="O20" s="282">
        <f t="shared" si="13"/>
        <v>241.14428109405159</v>
      </c>
      <c r="P20" s="282">
        <f t="shared" si="13"/>
        <v>241.14428109405159</v>
      </c>
      <c r="Q20" s="282">
        <f t="shared" si="13"/>
        <v>241.14428109405159</v>
      </c>
      <c r="R20" s="282">
        <f t="shared" si="13"/>
        <v>241.14428109405159</v>
      </c>
    </row>
    <row r="21" spans="1:22" x14ac:dyDescent="0.3">
      <c r="B21" s="271" t="s">
        <v>338</v>
      </c>
      <c r="C21" s="271" t="s">
        <v>364</v>
      </c>
      <c r="D21" s="281">
        <f>-D116/D28*365</f>
        <v>149.6194583821048</v>
      </c>
      <c r="E21" s="281">
        <f t="shared" ref="E21:H21" si="14">E116/E27</f>
        <v>0.22001781404436271</v>
      </c>
      <c r="F21" s="281">
        <f t="shared" si="14"/>
        <v>0.1887307182282871</v>
      </c>
      <c r="G21" s="281">
        <f t="shared" si="14"/>
        <v>0.18375915186329383</v>
      </c>
      <c r="H21" s="281">
        <f t="shared" si="14"/>
        <v>0.14112640919502528</v>
      </c>
      <c r="I21" s="282">
        <f>H21</f>
        <v>0.14112640919502528</v>
      </c>
      <c r="J21" s="282">
        <f t="shared" ref="J21:R21" si="15">I21</f>
        <v>0.14112640919502528</v>
      </c>
      <c r="K21" s="282">
        <f t="shared" si="15"/>
        <v>0.14112640919502528</v>
      </c>
      <c r="L21" s="282">
        <f t="shared" si="15"/>
        <v>0.14112640919502528</v>
      </c>
      <c r="M21" s="282">
        <f t="shared" si="15"/>
        <v>0.14112640919502528</v>
      </c>
      <c r="N21" s="282">
        <f t="shared" si="15"/>
        <v>0.14112640919502528</v>
      </c>
      <c r="O21" s="282">
        <f t="shared" si="15"/>
        <v>0.14112640919502528</v>
      </c>
      <c r="P21" s="282">
        <f t="shared" si="15"/>
        <v>0.14112640919502528</v>
      </c>
      <c r="Q21" s="282">
        <f t="shared" si="15"/>
        <v>0.14112640919502528</v>
      </c>
      <c r="R21" s="282">
        <f t="shared" si="15"/>
        <v>0.14112640919502528</v>
      </c>
    </row>
    <row r="22" spans="1:22" x14ac:dyDescent="0.3">
      <c r="B22" s="271" t="s">
        <v>339</v>
      </c>
      <c r="C22" s="271" t="s">
        <v>365</v>
      </c>
      <c r="D22" s="283">
        <f>D27/D51</f>
        <v>5.6583504325085494</v>
      </c>
      <c r="E22" s="283">
        <f t="shared" ref="E22:H22" si="16">E27/E51</f>
        <v>6.1026313377461276</v>
      </c>
      <c r="F22" s="283">
        <f t="shared" si="16"/>
        <v>6.5494319510375565</v>
      </c>
      <c r="G22" s="283">
        <f t="shared" si="16"/>
        <v>7.2331386028897571</v>
      </c>
      <c r="H22" s="283">
        <f t="shared" si="16"/>
        <v>7.3826770228395429</v>
      </c>
      <c r="I22" s="284">
        <f>H22+0.5</f>
        <v>7.8826770228395429</v>
      </c>
      <c r="J22" s="284">
        <f t="shared" ref="J22:R22" si="17">I22+0.5</f>
        <v>8.3826770228395429</v>
      </c>
      <c r="K22" s="284">
        <f t="shared" si="17"/>
        <v>8.8826770228395429</v>
      </c>
      <c r="L22" s="284">
        <f t="shared" si="17"/>
        <v>9.3826770228395429</v>
      </c>
      <c r="M22" s="284">
        <f t="shared" si="17"/>
        <v>9.8826770228395429</v>
      </c>
      <c r="N22" s="284">
        <f t="shared" si="17"/>
        <v>10.382677022839543</v>
      </c>
      <c r="O22" s="284">
        <f t="shared" si="17"/>
        <v>10.882677022839543</v>
      </c>
      <c r="P22" s="284">
        <f t="shared" si="17"/>
        <v>11.382677022839543</v>
      </c>
      <c r="Q22" s="284">
        <f t="shared" si="17"/>
        <v>11.882677022839543</v>
      </c>
      <c r="R22" s="284">
        <f t="shared" si="17"/>
        <v>12.382677022839543</v>
      </c>
    </row>
    <row r="23" spans="1:22" x14ac:dyDescent="0.3">
      <c r="B23" s="39"/>
    </row>
    <row r="25" spans="1:22" s="39" customFormat="1" ht="18" customHeight="1" x14ac:dyDescent="0.4">
      <c r="A25" s="184" t="s">
        <v>341</v>
      </c>
      <c r="B25" s="185"/>
      <c r="C25" s="185"/>
      <c r="D25" s="185"/>
      <c r="E25" s="185"/>
      <c r="F25" s="185"/>
      <c r="G25" s="185"/>
      <c r="H25" s="186"/>
      <c r="I25" s="186"/>
      <c r="J25" s="186"/>
      <c r="K25" s="186"/>
      <c r="L25" s="186"/>
      <c r="M25" s="186"/>
      <c r="N25" s="186"/>
      <c r="O25" s="186"/>
      <c r="P25" s="186"/>
      <c r="Q25" s="186"/>
      <c r="R25" s="186"/>
      <c r="S25" s="186"/>
      <c r="T25" s="186"/>
      <c r="U25" s="186"/>
      <c r="V25" s="186"/>
    </row>
    <row r="26" spans="1:22" x14ac:dyDescent="0.3">
      <c r="A26" s="40" t="s">
        <v>342</v>
      </c>
    </row>
    <row r="27" spans="1:22" x14ac:dyDescent="0.3">
      <c r="B27" s="40" t="s">
        <v>343</v>
      </c>
      <c r="D27" s="196">
        <f>'Historial IS'!K4</f>
        <v>1406383</v>
      </c>
      <c r="E27" s="196">
        <f>'Historial IS'!L4</f>
        <v>1531376</v>
      </c>
      <c r="F27" s="196">
        <f>'Historial IS'!M4</f>
        <v>1764620</v>
      </c>
      <c r="G27" s="196">
        <f>'Historial IS'!N4</f>
        <v>2016939</v>
      </c>
      <c r="H27" s="196">
        <f>'Historial IS'!O4</f>
        <v>2365801</v>
      </c>
      <c r="I27" s="200">
        <f>H27*(I11+1)</f>
        <v>2791645.1799999997</v>
      </c>
      <c r="J27" s="200">
        <f t="shared" ref="J27:R27" si="18">I27*(J11+1)</f>
        <v>3266224.8605999993</v>
      </c>
      <c r="K27" s="200">
        <f t="shared" si="18"/>
        <v>3821483.0869019991</v>
      </c>
      <c r="L27" s="200">
        <f t="shared" si="18"/>
        <v>4432920.3808063185</v>
      </c>
      <c r="M27" s="200">
        <f t="shared" si="18"/>
        <v>5097858.4379272657</v>
      </c>
      <c r="N27" s="200">
        <f t="shared" si="18"/>
        <v>5837047.9114267193</v>
      </c>
      <c r="O27" s="200">
        <f t="shared" si="18"/>
        <v>6654234.6190264607</v>
      </c>
      <c r="P27" s="200">
        <f t="shared" si="18"/>
        <v>7552556.2925950326</v>
      </c>
      <c r="Q27" s="200">
        <f t="shared" si="18"/>
        <v>8534388.6106323861</v>
      </c>
      <c r="R27" s="200">
        <f t="shared" si="18"/>
        <v>9601187.1869614348</v>
      </c>
    </row>
    <row r="28" spans="1:22" x14ac:dyDescent="0.3">
      <c r="B28" s="192" t="s">
        <v>344</v>
      </c>
      <c r="C28" s="264"/>
      <c r="D28" s="286">
        <f>'Historial IS'!K9+'Historial IS'!K10+'Historial IS'!K11</f>
        <v>-804774</v>
      </c>
      <c r="E28" s="286">
        <f>'Historial IS'!L9+'Historial IS'!L10+'Historial IS'!L11</f>
        <v>-942680</v>
      </c>
      <c r="F28" s="286">
        <f>'Historial IS'!M9+'Historial IS'!M10+'Historial IS'!M11</f>
        <v>-1060374</v>
      </c>
      <c r="G28" s="286">
        <f>'Historial IS'!N9+'Historial IS'!N10+'Historial IS'!N11</f>
        <v>-1168705</v>
      </c>
      <c r="H28" s="286">
        <f>'Historial IS'!O9+'Historial IS'!O10+'Historial IS'!O11</f>
        <v>-1380264</v>
      </c>
      <c r="I28" s="287">
        <f>H28*I12</f>
        <v>-811492.30021966377</v>
      </c>
      <c r="J28" s="287">
        <f t="shared" ref="J28:R28" si="19">I28*J12</f>
        <v>-477096.95631835714</v>
      </c>
      <c r="K28" s="287">
        <f t="shared" si="19"/>
        <v>-280497.43129617529</v>
      </c>
      <c r="L28" s="287">
        <f t="shared" si="19"/>
        <v>-164911.57179223714</v>
      </c>
      <c r="M28" s="287">
        <f t="shared" si="19"/>
        <v>-96955.706101530392</v>
      </c>
      <c r="N28" s="287">
        <f t="shared" si="19"/>
        <v>-57002.724814783687</v>
      </c>
      <c r="O28" s="287">
        <f t="shared" si="19"/>
        <v>-33513.351271015781</v>
      </c>
      <c r="P28" s="287">
        <f t="shared" si="19"/>
        <v>-19703.351323360017</v>
      </c>
      <c r="Q28" s="287">
        <f t="shared" si="19"/>
        <v>-11584.10122080238</v>
      </c>
      <c r="R28" s="287">
        <f t="shared" si="19"/>
        <v>-6810.5876452956381</v>
      </c>
    </row>
    <row r="29" spans="1:22" x14ac:dyDescent="0.3">
      <c r="B29" s="285" t="s">
        <v>345</v>
      </c>
      <c r="D29" s="196">
        <f>SUM(D27:D28)</f>
        <v>601609</v>
      </c>
      <c r="E29" s="196">
        <f t="shared" ref="E29:H29" si="20">SUM(E27:E28)</f>
        <v>588696</v>
      </c>
      <c r="F29" s="196">
        <f t="shared" si="20"/>
        <v>704246</v>
      </c>
      <c r="G29" s="196">
        <f t="shared" si="20"/>
        <v>848234</v>
      </c>
      <c r="H29" s="196">
        <f t="shared" si="20"/>
        <v>985537</v>
      </c>
      <c r="I29" s="201">
        <f t="shared" ref="I29" si="21">SUM(I27:I28)</f>
        <v>1980152.8797803358</v>
      </c>
      <c r="J29" s="201">
        <f t="shared" ref="J29" si="22">SUM(J27:J28)</f>
        <v>2789127.9042816423</v>
      </c>
      <c r="K29" s="201">
        <f t="shared" ref="K29" si="23">SUM(K27:K28)</f>
        <v>3540985.6556058237</v>
      </c>
      <c r="L29" s="201">
        <f t="shared" ref="L29" si="24">SUM(L27:L28)</f>
        <v>4268008.809014081</v>
      </c>
      <c r="M29" s="201">
        <f t="shared" ref="M29" si="25">SUM(M27:M28)</f>
        <v>5000902.7318257354</v>
      </c>
      <c r="N29" s="201">
        <f t="shared" ref="N29" si="26">SUM(N27:N28)</f>
        <v>5780045.1866119355</v>
      </c>
      <c r="O29" s="201">
        <f t="shared" ref="O29" si="27">SUM(O27:O28)</f>
        <v>6620721.2677554451</v>
      </c>
      <c r="P29" s="201">
        <f t="shared" ref="P29" si="28">SUM(P27:P28)</f>
        <v>7532852.941271673</v>
      </c>
      <c r="Q29" s="201">
        <f t="shared" ref="Q29" si="29">SUM(Q27:Q28)</f>
        <v>8522804.5094115846</v>
      </c>
      <c r="R29" s="201">
        <f t="shared" ref="R29" si="30">SUM(R27:R28)</f>
        <v>9594376.5993161388</v>
      </c>
    </row>
    <row r="30" spans="1:22" x14ac:dyDescent="0.3">
      <c r="A30" s="40" t="s">
        <v>98</v>
      </c>
      <c r="C30" s="39"/>
      <c r="D30" s="196"/>
      <c r="E30" s="196"/>
      <c r="F30" s="196"/>
      <c r="G30" s="196"/>
      <c r="H30" s="196"/>
      <c r="I30" s="200"/>
      <c r="J30" s="200"/>
      <c r="K30" s="200"/>
      <c r="L30" s="200"/>
      <c r="M30" s="200"/>
      <c r="N30" s="200"/>
      <c r="O30" s="200"/>
      <c r="P30" s="200"/>
      <c r="Q30" s="200"/>
      <c r="R30" s="200"/>
    </row>
    <row r="31" spans="1:22" x14ac:dyDescent="0.3">
      <c r="B31" s="39" t="s">
        <v>346</v>
      </c>
      <c r="C31" s="39" t="s">
        <v>359</v>
      </c>
      <c r="D31" s="196">
        <f>'Historial IS'!K12</f>
        <v>-194068</v>
      </c>
      <c r="E31" s="196">
        <f>'Historial IS'!L12</f>
        <v>-210939</v>
      </c>
      <c r="F31" s="196">
        <f>'Historial IS'!M12</f>
        <v>-229773</v>
      </c>
      <c r="G31" s="196">
        <f>'Historial IS'!N12</f>
        <v>-246670</v>
      </c>
      <c r="H31" s="196">
        <f>'Historial IS'!O12</f>
        <v>-273436</v>
      </c>
      <c r="I31" s="202">
        <f>I27*I13</f>
        <v>322654.48</v>
      </c>
      <c r="J31" s="202">
        <f t="shared" ref="J31:R31" si="31">J27*J13</f>
        <v>377505.74159999995</v>
      </c>
      <c r="K31" s="202">
        <f t="shared" si="31"/>
        <v>441681.71767199988</v>
      </c>
      <c r="L31" s="202">
        <f t="shared" si="31"/>
        <v>512350.79249951983</v>
      </c>
      <c r="M31" s="202">
        <f t="shared" si="31"/>
        <v>589203.41137444775</v>
      </c>
      <c r="N31" s="202">
        <f t="shared" si="31"/>
        <v>674637.90602374263</v>
      </c>
      <c r="O31" s="202">
        <f t="shared" si="31"/>
        <v>769087.21286706673</v>
      </c>
      <c r="P31" s="202">
        <f t="shared" si="31"/>
        <v>872913.9866041207</v>
      </c>
      <c r="Q31" s="202">
        <f t="shared" si="31"/>
        <v>986392.80486265628</v>
      </c>
      <c r="R31" s="202">
        <f t="shared" si="31"/>
        <v>1109691.9054704884</v>
      </c>
    </row>
    <row r="32" spans="1:22" x14ac:dyDescent="0.3">
      <c r="B32" s="192" t="s">
        <v>347</v>
      </c>
      <c r="C32" s="264" t="s">
        <v>359</v>
      </c>
      <c r="D32" s="286">
        <f>'Historial IS'!K15</f>
        <v>-111421</v>
      </c>
      <c r="E32" s="286">
        <f>'Historial IS'!L15</f>
        <v>-99263</v>
      </c>
      <c r="F32" s="286">
        <f>'Historial IS'!M15</f>
        <v>-149211</v>
      </c>
      <c r="G32" s="286">
        <f>'Historial IS'!N15</f>
        <v>-213861</v>
      </c>
      <c r="H32" s="286">
        <f>'Historial IS'!O15</f>
        <v>-197508</v>
      </c>
      <c r="I32" s="287">
        <f>H32*I14</f>
        <v>0.61633999369642345</v>
      </c>
      <c r="J32" s="287">
        <f t="shared" ref="J32:R32" si="32">I32*J14</f>
        <v>-1.923339752464241E-6</v>
      </c>
      <c r="K32" s="287">
        <f t="shared" si="32"/>
        <v>6.0019402298129244E-12</v>
      </c>
      <c r="L32" s="287">
        <f t="shared" si="32"/>
        <v>-1.8729549200079027E-17</v>
      </c>
      <c r="M32" s="287">
        <f t="shared" si="32"/>
        <v>5.8447102071377168E-23</v>
      </c>
      <c r="N32" s="287">
        <f t="shared" si="32"/>
        <v>-1.8238899954557194E-28</v>
      </c>
      <c r="O32" s="287">
        <f t="shared" si="32"/>
        <v>5.6915990658714984E-34</v>
      </c>
      <c r="P32" s="287">
        <f t="shared" si="32"/>
        <v>-1.7761104017972991E-39</v>
      </c>
      <c r="Q32" s="287">
        <f t="shared" si="32"/>
        <v>5.542498905603315E-45</v>
      </c>
      <c r="R32" s="287">
        <f t="shared" si="32"/>
        <v>-1.7295824678200281E-50</v>
      </c>
    </row>
    <row r="33" spans="1:19" x14ac:dyDescent="0.3">
      <c r="B33" s="191" t="s">
        <v>267</v>
      </c>
      <c r="C33" s="194" t="s">
        <v>359</v>
      </c>
      <c r="D33" s="196">
        <f>SUM(D29,D31:D32)</f>
        <v>296120</v>
      </c>
      <c r="E33" s="196">
        <f t="shared" ref="E33:H33" si="33">SUM(E29,E31:E32)</f>
        <v>278494</v>
      </c>
      <c r="F33" s="196">
        <f t="shared" si="33"/>
        <v>325262</v>
      </c>
      <c r="G33" s="196">
        <f t="shared" si="33"/>
        <v>387703</v>
      </c>
      <c r="H33" s="196">
        <f t="shared" si="33"/>
        <v>514593</v>
      </c>
      <c r="I33" s="201">
        <f t="shared" ref="I33" si="34">SUM(I29,I31:I32)</f>
        <v>2302807.9761203295</v>
      </c>
      <c r="J33" s="201">
        <f t="shared" ref="J33" si="35">SUM(J29,J31:J32)</f>
        <v>3166633.6458797189</v>
      </c>
      <c r="K33" s="201">
        <f t="shared" ref="K33" si="36">SUM(K29,K31:K32)</f>
        <v>3982667.3732778234</v>
      </c>
      <c r="L33" s="201">
        <f t="shared" ref="L33" si="37">SUM(L29,L31:L32)</f>
        <v>4780359.6015136009</v>
      </c>
      <c r="M33" s="201">
        <f t="shared" ref="M33" si="38">SUM(M29,M31:M32)</f>
        <v>5590106.1432001833</v>
      </c>
      <c r="N33" s="201">
        <f t="shared" ref="N33" si="39">SUM(N29,N31:N32)</f>
        <v>6454683.0926356781</v>
      </c>
      <c r="O33" s="201">
        <f t="shared" ref="O33" si="40">SUM(O29,O31:O32)</f>
        <v>7389808.4806225114</v>
      </c>
      <c r="P33" s="201">
        <f t="shared" ref="P33" si="41">SUM(P29,P31:P32)</f>
        <v>8405766.9278757945</v>
      </c>
      <c r="Q33" s="201">
        <f t="shared" ref="Q33" si="42">SUM(Q29,Q31:Q32)</f>
        <v>9509197.3142742403</v>
      </c>
      <c r="R33" s="201">
        <f t="shared" ref="R33" si="43">SUM(R29,R31:R32)</f>
        <v>10704068.504786627</v>
      </c>
    </row>
    <row r="34" spans="1:19" x14ac:dyDescent="0.3">
      <c r="B34" s="192" t="s">
        <v>348</v>
      </c>
      <c r="C34" s="264" t="s">
        <v>359</v>
      </c>
      <c r="D34" s="286">
        <f>'Historial IS'!K14</f>
        <v>-36633</v>
      </c>
      <c r="E34" s="286">
        <f>'Historial IS'!L14</f>
        <v>-38018</v>
      </c>
      <c r="F34" s="286">
        <f>'Historial IS'!M14</f>
        <v>-40787</v>
      </c>
      <c r="G34" s="286">
        <f>'Historial IS'!N14</f>
        <v>-41243</v>
      </c>
      <c r="H34" s="286">
        <f>'Historial IS'!O14</f>
        <v>-43558</v>
      </c>
      <c r="I34" s="287">
        <f>H34*I15</f>
        <v>-1237.5491275808911</v>
      </c>
      <c r="J34" s="287">
        <f t="shared" ref="J34:R34" si="44">I34*J15</f>
        <v>-35.160655750406924</v>
      </c>
      <c r="K34" s="287">
        <f t="shared" si="44"/>
        <v>-1.3505743441124565</v>
      </c>
      <c r="L34" s="287">
        <f t="shared" si="44"/>
        <v>-5.1877617753294657E-2</v>
      </c>
      <c r="M34" s="287">
        <f t="shared" si="44"/>
        <v>-2.5114744954663881E-3</v>
      </c>
      <c r="N34" s="287">
        <f t="shared" si="44"/>
        <v>-1.2158430580551416E-4</v>
      </c>
      <c r="O34" s="287">
        <f t="shared" si="44"/>
        <v>-7.1019244994131951E-6</v>
      </c>
      <c r="P34" s="287">
        <f t="shared" si="44"/>
        <v>-4.1483422766787632E-7</v>
      </c>
      <c r="Q34" s="287">
        <f t="shared" si="44"/>
        <v>-2.8379441390591109E-8</v>
      </c>
      <c r="R34" s="287">
        <f t="shared" si="44"/>
        <v>-1.9414808131184576E-9</v>
      </c>
    </row>
    <row r="35" spans="1:19" x14ac:dyDescent="0.3">
      <c r="B35" s="40" t="s">
        <v>349</v>
      </c>
      <c r="C35" s="194" t="s">
        <v>359</v>
      </c>
      <c r="D35" s="196">
        <f>SUM(D33:D34)</f>
        <v>259487</v>
      </c>
      <c r="E35" s="196">
        <f t="shared" ref="E35:H35" si="45">SUM(E33:E34)</f>
        <v>240476</v>
      </c>
      <c r="F35" s="196">
        <f t="shared" si="45"/>
        <v>284475</v>
      </c>
      <c r="G35" s="196">
        <f t="shared" si="45"/>
        <v>346460</v>
      </c>
      <c r="H35" s="196">
        <f t="shared" si="45"/>
        <v>471035</v>
      </c>
      <c r="I35" s="201">
        <f t="shared" ref="I35" si="46">SUM(I33:I34)</f>
        <v>2301570.4269927484</v>
      </c>
      <c r="J35" s="201">
        <f t="shared" ref="J35" si="47">SUM(J33:J34)</f>
        <v>3166598.4852239685</v>
      </c>
      <c r="K35" s="201">
        <f t="shared" ref="K35" si="48">SUM(K33:K34)</f>
        <v>3982666.0227034795</v>
      </c>
      <c r="L35" s="201">
        <f t="shared" ref="L35" si="49">SUM(L33:L34)</f>
        <v>4780359.5496359831</v>
      </c>
      <c r="M35" s="201">
        <f t="shared" ref="M35" si="50">SUM(M33:M34)</f>
        <v>5590106.140688709</v>
      </c>
      <c r="N35" s="201">
        <f t="shared" ref="N35" si="51">SUM(N33:N34)</f>
        <v>6454683.092514094</v>
      </c>
      <c r="O35" s="201">
        <f t="shared" ref="O35" si="52">SUM(O33:O34)</f>
        <v>7389808.4806154091</v>
      </c>
      <c r="P35" s="201">
        <f t="shared" ref="P35" si="53">SUM(P33:P34)</f>
        <v>8405766.9278753791</v>
      </c>
      <c r="Q35" s="201">
        <f t="shared" ref="Q35" si="54">SUM(Q33:Q34)</f>
        <v>9509197.3142742123</v>
      </c>
      <c r="R35" s="201">
        <f t="shared" ref="R35" si="55">SUM(R33:R34)</f>
        <v>10704068.504786626</v>
      </c>
    </row>
    <row r="36" spans="1:19" x14ac:dyDescent="0.3">
      <c r="B36" s="192" t="s">
        <v>11</v>
      </c>
      <c r="C36" s="264" t="s">
        <v>359</v>
      </c>
      <c r="D36" s="286">
        <f>'Historial IS'!K13</f>
        <v>-608</v>
      </c>
      <c r="E36" s="286">
        <f>'Historial IS'!L13</f>
        <v>-485</v>
      </c>
      <c r="F36" s="286">
        <f>'Historial IS'!M13</f>
        <v>-1479</v>
      </c>
      <c r="G36" s="286">
        <f>'Historial IS'!N13</f>
        <v>-702</v>
      </c>
      <c r="H36" s="286">
        <f>'Historial IS'!O13</f>
        <v>-961</v>
      </c>
      <c r="I36" s="287">
        <f>H36*I16</f>
        <v>-0.39036292570676906</v>
      </c>
      <c r="J36" s="287">
        <f t="shared" ref="J36:R36" si="56">I36*J16</f>
        <v>-1.5856734002741779E-4</v>
      </c>
      <c r="K36" s="287">
        <f t="shared" si="56"/>
        <v>-6.4410833272261056E-8</v>
      </c>
      <c r="L36" s="287">
        <f t="shared" si="56"/>
        <v>-2.6163997214745816E-11</v>
      </c>
      <c r="M36" s="287">
        <f t="shared" si="56"/>
        <v>-1.0627944329793896E-14</v>
      </c>
      <c r="N36" s="287">
        <f t="shared" si="56"/>
        <v>-4.3171232495598462E-18</v>
      </c>
      <c r="O36" s="287">
        <f t="shared" si="56"/>
        <v>-1.7536366933765823E-21</v>
      </c>
      <c r="P36" s="287">
        <f t="shared" si="56"/>
        <v>-7.1233584833842554E-25</v>
      </c>
      <c r="Q36" s="287">
        <f t="shared" si="56"/>
        <v>-2.8935432449864839E-28</v>
      </c>
      <c r="R36" s="287">
        <f t="shared" si="56"/>
        <v>-1.1753714950801063E-31</v>
      </c>
    </row>
    <row r="37" spans="1:19" x14ac:dyDescent="0.3">
      <c r="B37" s="192" t="s">
        <v>350</v>
      </c>
      <c r="C37" s="264" t="s">
        <v>359</v>
      </c>
      <c r="D37" s="286">
        <f>'Historial IS'!K5</f>
        <v>12610</v>
      </c>
      <c r="E37" s="286">
        <f>'Historial IS'!L5</f>
        <v>23359</v>
      </c>
      <c r="F37" s="286">
        <f>'Historial IS'!M5</f>
        <v>36002</v>
      </c>
      <c r="G37" s="286">
        <f>'Historial IS'!N5</f>
        <v>75584</v>
      </c>
      <c r="H37" s="286">
        <f>'Historial IS'!O5</f>
        <v>76759</v>
      </c>
      <c r="I37" s="287">
        <f>H37*I17</f>
        <v>2490.4647859224001</v>
      </c>
      <c r="J37" s="287">
        <f t="shared" ref="J37:Q37" si="57">I37*J17</f>
        <v>80.803747442247882</v>
      </c>
      <c r="K37" s="287">
        <f t="shared" si="57"/>
        <v>2.6216976195037134</v>
      </c>
      <c r="L37" s="287">
        <f>K37*L17</f>
        <v>8.5061629264458649E-2</v>
      </c>
      <c r="M37" s="287">
        <f t="shared" si="57"/>
        <v>2.759845650885506E-3</v>
      </c>
      <c r="N37" s="287">
        <f t="shared" si="57"/>
        <v>8.9543876393796665E-5</v>
      </c>
      <c r="O37" s="287">
        <f t="shared" si="57"/>
        <v>2.9052732702841183E-6</v>
      </c>
      <c r="P37" s="287">
        <f t="shared" si="57"/>
        <v>9.4262311561174684E-8</v>
      </c>
      <c r="Q37" s="287">
        <f t="shared" si="57"/>
        <v>3.0583640691352347E-9</v>
      </c>
      <c r="R37" s="287">
        <f>Q37*R17</f>
        <v>9.9229380485827621E-11</v>
      </c>
    </row>
    <row r="38" spans="1:19" x14ac:dyDescent="0.3">
      <c r="B38" s="40" t="s">
        <v>351</v>
      </c>
      <c r="C38" s="39" t="s">
        <v>276</v>
      </c>
      <c r="D38" s="196">
        <f>SUM(D35:D37)</f>
        <v>271489</v>
      </c>
      <c r="E38" s="196">
        <f t="shared" ref="E38:H38" si="58">SUM(E35:E37)</f>
        <v>263350</v>
      </c>
      <c r="F38" s="196">
        <f t="shared" si="58"/>
        <v>318998</v>
      </c>
      <c r="G38" s="196">
        <f t="shared" si="58"/>
        <v>421342</v>
      </c>
      <c r="H38" s="196">
        <f t="shared" si="58"/>
        <v>546833</v>
      </c>
      <c r="I38" s="201">
        <f t="shared" ref="I38" si="59">SUM(I35:I37)</f>
        <v>2304060.5014157449</v>
      </c>
      <c r="J38" s="201">
        <f t="shared" ref="J38" si="60">SUM(J35:J37)</f>
        <v>3166679.2888128432</v>
      </c>
      <c r="K38" s="201">
        <f t="shared" ref="K38" si="61">SUM(K35:K37)</f>
        <v>3982668.6444010348</v>
      </c>
      <c r="L38" s="201">
        <f t="shared" ref="L38" si="62">SUM(L35:L37)</f>
        <v>4780359.6346976124</v>
      </c>
      <c r="M38" s="201">
        <f t="shared" ref="M38" si="63">SUM(M35:M37)</f>
        <v>5590106.1434485549</v>
      </c>
      <c r="N38" s="201">
        <f t="shared" ref="N38" si="64">SUM(N35:N37)</f>
        <v>6454683.0926036378</v>
      </c>
      <c r="O38" s="201">
        <f t="shared" ref="O38" si="65">SUM(O35:O37)</f>
        <v>7389808.4806183148</v>
      </c>
      <c r="P38" s="201">
        <f t="shared" ref="P38" si="66">SUM(P35:P37)</f>
        <v>8405766.9278754741</v>
      </c>
      <c r="Q38" s="201">
        <f t="shared" ref="Q38" si="67">SUM(Q35:Q37)</f>
        <v>9509197.3142742161</v>
      </c>
      <c r="R38" s="201">
        <f t="shared" ref="R38" si="68">SUM(R35:R37)</f>
        <v>10704068.504786626</v>
      </c>
    </row>
    <row r="39" spans="1:19" x14ac:dyDescent="0.3">
      <c r="B39" s="192" t="s">
        <v>352</v>
      </c>
      <c r="C39" s="264" t="s">
        <v>276</v>
      </c>
      <c r="D39" s="286">
        <f>'Historial IS'!K26</f>
        <v>-78047</v>
      </c>
      <c r="E39" s="286">
        <f>'Historial IS'!L26</f>
        <v>-101217</v>
      </c>
      <c r="F39" s="286">
        <f>'Historial IS'!M26</f>
        <v>-77071</v>
      </c>
      <c r="G39" s="286">
        <f>'Historial IS'!N26</f>
        <v>-158462</v>
      </c>
      <c r="H39" s="286">
        <f>'Historial IS'!O26</f>
        <v>-172096</v>
      </c>
      <c r="I39" s="287">
        <f>H39*I18</f>
        <v>0</v>
      </c>
      <c r="J39" s="287">
        <f t="shared" ref="J39:R39" si="69">I39*J18</f>
        <v>0</v>
      </c>
      <c r="K39" s="287">
        <f t="shared" si="69"/>
        <v>0</v>
      </c>
      <c r="L39" s="287">
        <f t="shared" si="69"/>
        <v>0</v>
      </c>
      <c r="M39" s="287">
        <f t="shared" si="69"/>
        <v>0</v>
      </c>
      <c r="N39" s="287">
        <f t="shared" si="69"/>
        <v>0</v>
      </c>
      <c r="O39" s="287">
        <f t="shared" si="69"/>
        <v>0</v>
      </c>
      <c r="P39" s="287">
        <f t="shared" si="69"/>
        <v>0</v>
      </c>
      <c r="Q39" s="287">
        <f t="shared" si="69"/>
        <v>0</v>
      </c>
      <c r="R39" s="287">
        <f t="shared" si="69"/>
        <v>0</v>
      </c>
    </row>
    <row r="40" spans="1:19" x14ac:dyDescent="0.3">
      <c r="B40" s="192" t="s">
        <v>353</v>
      </c>
      <c r="C40" s="264" t="s">
        <v>276</v>
      </c>
      <c r="D40" s="286">
        <f>D38+D39</f>
        <v>193442</v>
      </c>
      <c r="E40" s="286">
        <f t="shared" ref="E40:H40" si="70">E38+E39</f>
        <v>162133</v>
      </c>
      <c r="F40" s="286">
        <f t="shared" si="70"/>
        <v>241927</v>
      </c>
      <c r="G40" s="286">
        <f t="shared" si="70"/>
        <v>262880</v>
      </c>
      <c r="H40" s="286">
        <f t="shared" si="70"/>
        <v>374737</v>
      </c>
      <c r="I40" s="287">
        <f t="shared" ref="I40" si="71">I38+I39</f>
        <v>2304060.5014157449</v>
      </c>
      <c r="J40" s="287">
        <f t="shared" ref="J40" si="72">J38+J39</f>
        <v>3166679.2888128432</v>
      </c>
      <c r="K40" s="287">
        <f t="shared" ref="K40" si="73">K38+K39</f>
        <v>3982668.6444010348</v>
      </c>
      <c r="L40" s="287">
        <f t="shared" ref="L40" si="74">L38+L39</f>
        <v>4780359.6346976124</v>
      </c>
      <c r="M40" s="287">
        <f t="shared" ref="M40" si="75">M38+M39</f>
        <v>5590106.1434485549</v>
      </c>
      <c r="N40" s="287">
        <f t="shared" ref="N40" si="76">N38+N39</f>
        <v>6454683.0926036378</v>
      </c>
      <c r="O40" s="287">
        <f t="shared" ref="O40" si="77">O38+O39</f>
        <v>7389808.4806183148</v>
      </c>
      <c r="P40" s="287">
        <f t="shared" ref="P40" si="78">P38+P39</f>
        <v>8405766.9278754741</v>
      </c>
      <c r="Q40" s="287">
        <f t="shared" ref="Q40" si="79">Q38+Q39</f>
        <v>9509197.3142742161</v>
      </c>
      <c r="R40" s="287">
        <f t="shared" ref="R40" si="80">R38+R39</f>
        <v>10704068.504786626</v>
      </c>
    </row>
    <row r="41" spans="1:19" x14ac:dyDescent="0.3">
      <c r="B41" s="39" t="s">
        <v>354</v>
      </c>
      <c r="C41" s="194" t="s">
        <v>276</v>
      </c>
      <c r="D41">
        <v>0</v>
      </c>
      <c r="E41">
        <v>0</v>
      </c>
      <c r="F41">
        <v>0</v>
      </c>
      <c r="G41">
        <v>0</v>
      </c>
      <c r="H41">
        <v>0</v>
      </c>
      <c r="I41" s="200">
        <v>0</v>
      </c>
      <c r="J41" s="200">
        <v>0</v>
      </c>
      <c r="K41" s="200">
        <v>0</v>
      </c>
      <c r="L41" s="200">
        <v>0</v>
      </c>
      <c r="M41" s="200">
        <v>0</v>
      </c>
      <c r="N41" s="200">
        <v>0</v>
      </c>
      <c r="O41" s="200">
        <v>0</v>
      </c>
      <c r="P41" s="200">
        <v>0</v>
      </c>
      <c r="Q41" s="200">
        <v>0</v>
      </c>
      <c r="R41" s="200">
        <v>0</v>
      </c>
    </row>
    <row r="42" spans="1:19" x14ac:dyDescent="0.3">
      <c r="B42" s="192" t="s">
        <v>355</v>
      </c>
      <c r="C42" s="264" t="s">
        <v>276</v>
      </c>
      <c r="D42" s="286">
        <f>SUM(D40:D41)</f>
        <v>193442</v>
      </c>
      <c r="E42" s="286">
        <f t="shared" ref="E42:G42" si="81">SUM(E40:E41)</f>
        <v>162133</v>
      </c>
      <c r="F42" s="286">
        <f t="shared" si="81"/>
        <v>241927</v>
      </c>
      <c r="G42" s="286">
        <f t="shared" si="81"/>
        <v>262880</v>
      </c>
      <c r="H42" s="286">
        <f>SUM(H40:H41)</f>
        <v>374737</v>
      </c>
      <c r="I42" s="287">
        <f t="shared" ref="I42:R42" si="82">SUM(I40:I41)</f>
        <v>2304060.5014157449</v>
      </c>
      <c r="J42" s="287">
        <f t="shared" si="82"/>
        <v>3166679.2888128432</v>
      </c>
      <c r="K42" s="287">
        <f t="shared" si="82"/>
        <v>3982668.6444010348</v>
      </c>
      <c r="L42" s="287">
        <f t="shared" si="82"/>
        <v>4780359.6346976124</v>
      </c>
      <c r="M42" s="287">
        <f t="shared" si="82"/>
        <v>5590106.1434485549</v>
      </c>
      <c r="N42" s="287">
        <f t="shared" si="82"/>
        <v>6454683.0926036378</v>
      </c>
      <c r="O42" s="287">
        <f t="shared" si="82"/>
        <v>7389808.4806183148</v>
      </c>
      <c r="P42" s="287">
        <f t="shared" si="82"/>
        <v>8405766.9278754741</v>
      </c>
      <c r="Q42" s="287">
        <f t="shared" si="82"/>
        <v>9509197.3142742161</v>
      </c>
      <c r="R42" s="287">
        <f t="shared" si="82"/>
        <v>10704068.504786626</v>
      </c>
    </row>
    <row r="43" spans="1:19" x14ac:dyDescent="0.3">
      <c r="B43" s="39" t="s">
        <v>356</v>
      </c>
      <c r="C43" s="194" t="s">
        <v>276</v>
      </c>
      <c r="D43">
        <v>0</v>
      </c>
      <c r="E43">
        <v>0</v>
      </c>
      <c r="F43">
        <v>0</v>
      </c>
      <c r="G43">
        <v>0</v>
      </c>
      <c r="H43">
        <v>0</v>
      </c>
      <c r="I43" s="200">
        <v>0</v>
      </c>
      <c r="J43" s="200">
        <v>0</v>
      </c>
      <c r="K43" s="200">
        <v>0</v>
      </c>
      <c r="L43" s="200">
        <v>0</v>
      </c>
      <c r="M43" s="200">
        <v>0</v>
      </c>
      <c r="N43" s="200">
        <v>0</v>
      </c>
      <c r="O43" s="200">
        <v>0</v>
      </c>
      <c r="P43" s="200">
        <v>0</v>
      </c>
      <c r="Q43" s="200">
        <v>0</v>
      </c>
      <c r="R43" s="200">
        <v>0</v>
      </c>
    </row>
    <row r="44" spans="1:19" ht="15" thickBot="1" x14ac:dyDescent="0.35">
      <c r="B44" s="193" t="s">
        <v>357</v>
      </c>
      <c r="C44" s="195"/>
      <c r="D44" s="288">
        <f>SUM(D42:D43)</f>
        <v>193442</v>
      </c>
      <c r="E44" s="288">
        <f t="shared" ref="E44:H44" si="83">SUM(E42:E43)</f>
        <v>162133</v>
      </c>
      <c r="F44" s="288">
        <f t="shared" si="83"/>
        <v>241927</v>
      </c>
      <c r="G44" s="288">
        <f t="shared" si="83"/>
        <v>262880</v>
      </c>
      <c r="H44" s="288">
        <f t="shared" si="83"/>
        <v>374737</v>
      </c>
      <c r="I44" s="289">
        <f>I42+I43</f>
        <v>2304060.5014157449</v>
      </c>
      <c r="J44" s="289">
        <f t="shared" ref="J44:R44" si="84">J42+J43</f>
        <v>3166679.2888128432</v>
      </c>
      <c r="K44" s="289">
        <f t="shared" si="84"/>
        <v>3982668.6444010348</v>
      </c>
      <c r="L44" s="289">
        <f t="shared" si="84"/>
        <v>4780359.6346976124</v>
      </c>
      <c r="M44" s="289">
        <f t="shared" si="84"/>
        <v>5590106.1434485549</v>
      </c>
      <c r="N44" s="289">
        <f t="shared" si="84"/>
        <v>6454683.0926036378</v>
      </c>
      <c r="O44" s="289">
        <f t="shared" si="84"/>
        <v>7389808.4806183148</v>
      </c>
      <c r="P44" s="289">
        <f t="shared" si="84"/>
        <v>8405766.9278754741</v>
      </c>
      <c r="Q44" s="289">
        <f t="shared" si="84"/>
        <v>9509197.3142742161</v>
      </c>
      <c r="R44" s="289">
        <f t="shared" si="84"/>
        <v>10704068.504786626</v>
      </c>
    </row>
    <row r="45" spans="1:19" ht="15" thickTop="1" x14ac:dyDescent="0.3">
      <c r="B45" s="40" t="s">
        <v>358</v>
      </c>
      <c r="C45" s="39" t="s">
        <v>276</v>
      </c>
      <c r="D45">
        <v>0</v>
      </c>
      <c r="E45">
        <v>0</v>
      </c>
      <c r="F45">
        <v>0</v>
      </c>
      <c r="G45">
        <v>0</v>
      </c>
      <c r="H45">
        <v>0</v>
      </c>
      <c r="I45" s="200">
        <v>0</v>
      </c>
      <c r="J45" s="200">
        <v>0</v>
      </c>
      <c r="K45" s="200">
        <v>0</v>
      </c>
      <c r="L45" s="200">
        <v>0</v>
      </c>
      <c r="M45" s="200">
        <v>0</v>
      </c>
      <c r="N45" s="200">
        <v>0</v>
      </c>
      <c r="O45" s="200">
        <v>0</v>
      </c>
      <c r="P45" s="200">
        <v>0</v>
      </c>
      <c r="Q45" s="200">
        <v>0</v>
      </c>
      <c r="R45" s="200">
        <v>0</v>
      </c>
    </row>
    <row r="46" spans="1:19" x14ac:dyDescent="0.3">
      <c r="B46" s="40" t="s">
        <v>340</v>
      </c>
      <c r="C46" s="194" t="s">
        <v>276</v>
      </c>
      <c r="D46">
        <v>0</v>
      </c>
      <c r="E46">
        <v>0</v>
      </c>
      <c r="F46">
        <v>0</v>
      </c>
      <c r="G46">
        <v>0</v>
      </c>
      <c r="H46">
        <v>0</v>
      </c>
      <c r="I46" s="200">
        <v>0</v>
      </c>
      <c r="J46" s="200">
        <v>0</v>
      </c>
      <c r="K46" s="200">
        <v>0</v>
      </c>
      <c r="L46" s="200">
        <v>0</v>
      </c>
      <c r="M46" s="200">
        <v>0</v>
      </c>
      <c r="N46" s="200">
        <v>0</v>
      </c>
      <c r="O46" s="200">
        <v>0</v>
      </c>
      <c r="P46" s="200">
        <v>0</v>
      </c>
      <c r="Q46" s="200">
        <v>0</v>
      </c>
      <c r="R46" s="200">
        <v>0</v>
      </c>
    </row>
    <row r="47" spans="1:19" x14ac:dyDescent="0.3">
      <c r="C47" s="39"/>
    </row>
    <row r="48" spans="1:19" ht="21" x14ac:dyDescent="0.4">
      <c r="A48" s="351" t="s">
        <v>361</v>
      </c>
      <c r="B48" s="351"/>
      <c r="C48" s="351"/>
      <c r="D48" s="351"/>
      <c r="E48" s="351"/>
      <c r="F48" s="351"/>
      <c r="G48" s="351"/>
      <c r="H48" s="351"/>
      <c r="I48" s="351"/>
      <c r="J48" s="351"/>
      <c r="K48" s="351"/>
      <c r="L48" s="351"/>
      <c r="M48" s="351"/>
      <c r="N48" s="351"/>
      <c r="O48" s="351"/>
      <c r="P48" s="351"/>
      <c r="Q48" s="351"/>
      <c r="R48" s="351"/>
      <c r="S48" s="351"/>
    </row>
    <row r="49" spans="1:8" x14ac:dyDescent="0.3">
      <c r="A49" s="39"/>
      <c r="B49" s="39"/>
    </row>
    <row r="50" spans="1:8" x14ac:dyDescent="0.3">
      <c r="A50" s="40"/>
      <c r="B50" s="41" t="str">
        <f>'Historical BS'!B6</f>
        <v>Non - current assets</v>
      </c>
      <c r="C50" s="48"/>
      <c r="D50" s="77"/>
      <c r="E50" s="77"/>
      <c r="F50" s="77"/>
      <c r="G50" s="77"/>
      <c r="H50" s="77"/>
    </row>
    <row r="51" spans="1:8" x14ac:dyDescent="0.3">
      <c r="A51" s="39"/>
      <c r="B51" s="271" t="str">
        <f>'Historical BS'!B7</f>
        <v>( a ) Property , Plant and Equipment</v>
      </c>
      <c r="C51" s="272"/>
      <c r="D51" s="273">
        <f>'Historical BS'!K7</f>
        <v>248550</v>
      </c>
      <c r="E51" s="273">
        <f>'Historical BS'!L7</f>
        <v>250937</v>
      </c>
      <c r="F51" s="273">
        <f>'Historical BS'!M7</f>
        <v>269431</v>
      </c>
      <c r="G51" s="273">
        <f>'Historical BS'!N7</f>
        <v>278847</v>
      </c>
      <c r="H51" s="273">
        <f>'Historical BS'!O7</f>
        <v>320453</v>
      </c>
    </row>
    <row r="52" spans="1:8" x14ac:dyDescent="0.3">
      <c r="A52" s="39"/>
      <c r="B52" s="271" t="str">
        <f>'Historical BS'!B8</f>
        <v>( b ) Capital work - in - progress</v>
      </c>
      <c r="C52" s="272"/>
      <c r="D52" s="273">
        <f>'Historical BS'!K8</f>
        <v>39747</v>
      </c>
      <c r="E52" s="273">
        <f>'Historical BS'!L8</f>
        <v>44593</v>
      </c>
      <c r="F52" s="273">
        <f>'Historical BS'!M8</f>
        <v>36123</v>
      </c>
      <c r="G52" s="273">
        <f>'Historical BS'!N8</f>
        <v>45642</v>
      </c>
      <c r="H52" s="273">
        <f>'Historical BS'!O8</f>
        <v>47698</v>
      </c>
    </row>
    <row r="53" spans="1:8" x14ac:dyDescent="0.3">
      <c r="A53" s="39"/>
      <c r="B53" s="271" t="str">
        <f>'Historical BS'!B9</f>
        <v>( c ) Investment Property</v>
      </c>
      <c r="C53" s="272"/>
      <c r="D53" s="273">
        <f>'Historical BS'!K9</f>
        <v>8</v>
      </c>
      <c r="E53" s="273">
        <f>'Historical BS'!L9</f>
        <v>7</v>
      </c>
      <c r="F53" s="273">
        <f>'Historical BS'!M9</f>
        <v>6</v>
      </c>
      <c r="G53" s="273">
        <f>'Historical BS'!N9</f>
        <v>4</v>
      </c>
      <c r="H53" s="273">
        <f>'Historical BS'!O9</f>
        <v>4</v>
      </c>
    </row>
    <row r="54" spans="1:8" x14ac:dyDescent="0.3">
      <c r="A54" s="39"/>
      <c r="B54" s="271" t="str">
        <f>'Historical BS'!B10</f>
        <v>( d ) Goodwill</v>
      </c>
      <c r="C54" s="272"/>
      <c r="D54" s="273">
        <f>'Historical BS'!K10</f>
        <v>0</v>
      </c>
      <c r="E54" s="273">
        <f>'Historical BS'!L10</f>
        <v>0</v>
      </c>
      <c r="F54" s="273">
        <f>'Historical BS'!M10</f>
        <v>0</v>
      </c>
      <c r="G54" s="273">
        <f>'Historical BS'!N10</f>
        <v>0</v>
      </c>
      <c r="H54" s="273">
        <f>'Historical BS'!O10</f>
        <v>0</v>
      </c>
    </row>
    <row r="55" spans="1:8" x14ac:dyDescent="0.3">
      <c r="A55" s="39"/>
      <c r="B55" s="271" t="str">
        <f>'Historical BS'!B11</f>
        <v>( e ) Other Intangible assets</v>
      </c>
      <c r="C55" s="272"/>
      <c r="D55" s="273">
        <f>'Historical BS'!K11</f>
        <v>16656</v>
      </c>
      <c r="E55" s="273">
        <f>'Historical BS'!L11</f>
        <v>16582</v>
      </c>
      <c r="F55" s="273">
        <f>'Historical BS'!M11</f>
        <v>26849</v>
      </c>
      <c r="G55" s="273">
        <f>'Historical BS'!N11</f>
        <v>24670</v>
      </c>
      <c r="H55" s="273">
        <f>'Historical BS'!O11</f>
        <v>21466</v>
      </c>
    </row>
    <row r="56" spans="1:8" x14ac:dyDescent="0.3">
      <c r="A56" s="40"/>
      <c r="B56" s="271" t="str">
        <f>'Historical BS'!B12</f>
        <v>( f ) Intangible Assets under Development</v>
      </c>
      <c r="C56" s="272"/>
      <c r="D56" s="273">
        <f>'Historical BS'!K12</f>
        <v>48521</v>
      </c>
      <c r="E56" s="273">
        <f>'Historical BS'!L12</f>
        <v>56011</v>
      </c>
      <c r="F56" s="273">
        <f>'Historical BS'!M12</f>
        <v>49371</v>
      </c>
      <c r="G56" s="273">
        <f>'Historical BS'!N12</f>
        <v>43730</v>
      </c>
      <c r="H56" s="273">
        <f>'Historical BS'!O12</f>
        <v>57482</v>
      </c>
    </row>
    <row r="57" spans="1:8" x14ac:dyDescent="0.3">
      <c r="A57" s="39"/>
      <c r="B57" s="271" t="str">
        <f>'Historical BS'!B13</f>
        <v>( g ) Investments accounted for using the Equity Method</v>
      </c>
      <c r="C57" s="272"/>
      <c r="D57" s="273">
        <f>'Historical BS'!K13</f>
        <v>18989</v>
      </c>
      <c r="E57" s="273">
        <f>'Historical BS'!L13</f>
        <v>23292</v>
      </c>
      <c r="F57" s="273">
        <f>'Historical BS'!M13</f>
        <v>20073</v>
      </c>
      <c r="G57" s="273">
        <f>'Historical BS'!N13</f>
        <v>15157</v>
      </c>
      <c r="H57" s="273">
        <f>'Historical BS'!O13</f>
        <v>16136</v>
      </c>
    </row>
    <row r="58" spans="1:8" x14ac:dyDescent="0.3">
      <c r="A58" s="39"/>
      <c r="B58" s="271" t="str">
        <f>'Historical BS'!B14</f>
        <v>( h ) Financial Assets</v>
      </c>
      <c r="C58" s="272"/>
      <c r="D58" s="273">
        <f>'Historical BS'!K14</f>
        <v>0</v>
      </c>
      <c r="E58" s="273">
        <f>'Historical BS'!L14</f>
        <v>0</v>
      </c>
      <c r="F58" s="273">
        <f>'Historical BS'!M14</f>
        <v>0</v>
      </c>
      <c r="G58" s="273">
        <f>'Historical BS'!N14</f>
        <v>0</v>
      </c>
      <c r="H58" s="273">
        <f>'Historical BS'!O14</f>
        <v>0</v>
      </c>
    </row>
    <row r="59" spans="1:8" x14ac:dyDescent="0.3">
      <c r="A59" s="39"/>
      <c r="B59" s="271" t="str">
        <f>'Historical BS'!B15</f>
        <v>( i ) Investments</v>
      </c>
      <c r="C59" s="272"/>
      <c r="D59" s="273">
        <f>'Historical BS'!K15</f>
        <v>111605</v>
      </c>
      <c r="E59" s="273">
        <f>'Historical BS'!L15</f>
        <v>133910</v>
      </c>
      <c r="F59" s="273">
        <f>'Historical BS'!M15</f>
        <v>44926</v>
      </c>
      <c r="G59" s="273">
        <f>'Historical BS'!N15</f>
        <v>53066</v>
      </c>
      <c r="H59" s="273">
        <f>'Historical BS'!O15</f>
        <v>58161</v>
      </c>
    </row>
    <row r="60" spans="1:8" x14ac:dyDescent="0.3">
      <c r="A60" s="39"/>
      <c r="B60" s="271" t="str">
        <f>'Historical BS'!B16</f>
        <v>( ii ) Trade Receivables</v>
      </c>
      <c r="C60" s="272"/>
      <c r="D60" s="273">
        <f>'Historical BS'!K16</f>
        <v>0</v>
      </c>
      <c r="E60" s="273">
        <f>'Historical BS'!L16</f>
        <v>0</v>
      </c>
      <c r="F60" s="273">
        <f>'Historical BS'!M16</f>
        <v>0</v>
      </c>
      <c r="G60" s="273">
        <f>'Historical BS'!N16</f>
        <v>0</v>
      </c>
      <c r="H60" s="273">
        <f>'Historical BS'!O16</f>
        <v>0</v>
      </c>
    </row>
    <row r="61" spans="1:8" x14ac:dyDescent="0.3">
      <c r="A61" s="39"/>
      <c r="B61" s="271" t="str">
        <f>'Historical BS'!B17</f>
        <v>( iii ) Contract Assets</v>
      </c>
      <c r="C61" s="272"/>
      <c r="D61" s="273">
        <f>'Historical BS'!K17</f>
        <v>0</v>
      </c>
      <c r="E61" s="273">
        <f>'Historical BS'!L17</f>
        <v>0</v>
      </c>
      <c r="F61" s="273">
        <f>'Historical BS'!M17</f>
        <v>0</v>
      </c>
      <c r="G61" s="273">
        <f>'Historical BS'!N17</f>
        <v>0</v>
      </c>
      <c r="H61" s="273">
        <f>'Historical BS'!O17</f>
        <v>0</v>
      </c>
    </row>
    <row r="62" spans="1:8" x14ac:dyDescent="0.3">
      <c r="A62" s="39"/>
      <c r="B62" s="271" t="str">
        <f>'Historical BS'!B18</f>
        <v>( iv ) Loans</v>
      </c>
      <c r="C62" s="272"/>
      <c r="D62" s="273">
        <f>'Historical BS'!K18</f>
        <v>736</v>
      </c>
      <c r="E62" s="273">
        <f>'Historical BS'!L18</f>
        <v>728</v>
      </c>
      <c r="F62" s="273">
        <f>'Historical BS'!M18</f>
        <v>656</v>
      </c>
      <c r="G62" s="273">
        <f>'Historical BS'!N18</f>
        <v>703</v>
      </c>
      <c r="H62" s="273">
        <f>'Historical BS'!O18</f>
        <v>663</v>
      </c>
    </row>
    <row r="63" spans="1:8" x14ac:dyDescent="0.3">
      <c r="A63" s="39"/>
      <c r="B63" s="271" t="str">
        <f>'Historical BS'!B19</f>
        <v>( v ) Other Financial Assets</v>
      </c>
      <c r="C63" s="272"/>
      <c r="D63" s="273">
        <f>'Historical BS'!K19</f>
        <v>2871</v>
      </c>
      <c r="E63" s="273">
        <f>'Historical BS'!L19</f>
        <v>2417</v>
      </c>
      <c r="F63" s="273">
        <f>'Historical BS'!M19</f>
        <v>2045</v>
      </c>
      <c r="G63" s="273">
        <f>'Historical BS'!N19</f>
        <v>1883</v>
      </c>
      <c r="H63" s="273">
        <f>'Historical BS'!O19</f>
        <v>2415</v>
      </c>
    </row>
    <row r="64" spans="1:8" x14ac:dyDescent="0.3">
      <c r="A64" s="39"/>
      <c r="B64" s="271" t="str">
        <f>'Historical BS'!B20</f>
        <v>( i ) Deferred tax Assets ( Net )</v>
      </c>
      <c r="C64" s="272"/>
      <c r="D64" s="273">
        <f>'Historical BS'!K20</f>
        <v>46346</v>
      </c>
      <c r="E64" s="273">
        <f>'Historical BS'!L20</f>
        <v>62094</v>
      </c>
      <c r="F64" s="273">
        <f>'Historical BS'!M20</f>
        <v>50372</v>
      </c>
      <c r="G64" s="273">
        <f>'Historical BS'!N20</f>
        <v>57468</v>
      </c>
      <c r="H64" s="273">
        <f>'Historical BS'!O20</f>
        <v>53484</v>
      </c>
    </row>
    <row r="65" spans="1:9" x14ac:dyDescent="0.3">
      <c r="A65" s="39"/>
      <c r="B65" s="271" t="str">
        <f>'Historical BS'!B21</f>
        <v>( j ) Inventories</v>
      </c>
      <c r="C65" s="272"/>
      <c r="D65" s="273">
        <f>'Historical BS'!K21</f>
        <v>3938</v>
      </c>
      <c r="E65" s="273">
        <f>'Historical BS'!L21</f>
        <v>2734</v>
      </c>
      <c r="F65" s="273">
        <f>'Historical BS'!M21</f>
        <v>587</v>
      </c>
      <c r="G65" s="273">
        <f>'Historical BS'!N21</f>
        <v>0</v>
      </c>
      <c r="H65" s="273">
        <f>'Historical BS'!O21</f>
        <v>0</v>
      </c>
    </row>
    <row r="66" spans="1:9" x14ac:dyDescent="0.3">
      <c r="A66" s="40"/>
      <c r="B66" s="271" t="str">
        <f>'Historical BS'!B22</f>
        <v>( k ) Other Non - Current Assets</v>
      </c>
      <c r="C66" s="272"/>
      <c r="D66" s="273">
        <f>'Historical BS'!K22</f>
        <v>39669</v>
      </c>
      <c r="E66" s="273">
        <f>'Historical BS'!L22</f>
        <v>68382</v>
      </c>
      <c r="F66" s="273">
        <f>'Historical BS'!M22</f>
        <v>43904</v>
      </c>
      <c r="G66" s="273">
        <f>'Historical BS'!N22</f>
        <v>25200</v>
      </c>
      <c r="H66" s="273">
        <f>'Historical BS'!O22</f>
        <v>19436</v>
      </c>
    </row>
    <row r="67" spans="1:9" x14ac:dyDescent="0.3">
      <c r="A67" s="39"/>
      <c r="B67" s="271" t="str">
        <f>'Historical BS'!B23</f>
        <v>Total non - current assets</v>
      </c>
      <c r="C67" s="272"/>
      <c r="D67" s="273">
        <f>'Historical BS'!K23</f>
        <v>577636</v>
      </c>
      <c r="E67" s="273">
        <f>'Historical BS'!L23</f>
        <v>661687</v>
      </c>
      <c r="F67" s="273">
        <f>'Historical BS'!M23</f>
        <v>544343</v>
      </c>
      <c r="G67" s="273">
        <f>'Historical BS'!N23</f>
        <v>546370</v>
      </c>
      <c r="H67" s="273">
        <f>'Historical BS'!O23</f>
        <v>597398</v>
      </c>
      <c r="I67" s="106"/>
    </row>
    <row r="68" spans="1:9" x14ac:dyDescent="0.3">
      <c r="A68" s="39"/>
      <c r="B68" s="39"/>
      <c r="D68" s="111"/>
      <c r="E68" s="111"/>
      <c r="F68" s="111"/>
      <c r="G68" s="111"/>
      <c r="H68" s="111"/>
    </row>
    <row r="69" spans="1:9" x14ac:dyDescent="0.3">
      <c r="A69" s="40"/>
      <c r="B69" s="41" t="str">
        <f>'Historical BS'!B25</f>
        <v>Current assets</v>
      </c>
      <c r="C69" s="48"/>
      <c r="D69" s="198"/>
      <c r="E69" s="198"/>
      <c r="F69" s="198"/>
      <c r="G69" s="198"/>
      <c r="H69" s="198"/>
    </row>
    <row r="70" spans="1:9" x14ac:dyDescent="0.3">
      <c r="A70" s="39"/>
      <c r="B70" s="271" t="str">
        <f>'Historical BS'!B26</f>
        <v>( a ) Inventories</v>
      </c>
      <c r="C70" s="272"/>
      <c r="D70" s="273">
        <f>'Historical BS'!K26</f>
        <v>496798</v>
      </c>
      <c r="E70" s="273">
        <f>'Historical BS'!L26</f>
        <v>559190</v>
      </c>
      <c r="F70" s="273">
        <f>'Historical BS'!M26</f>
        <v>644804</v>
      </c>
      <c r="G70" s="273">
        <f>'Historical BS'!N26</f>
        <v>744689</v>
      </c>
      <c r="H70" s="273">
        <f>'Historical BS'!O26</f>
        <v>911898</v>
      </c>
    </row>
    <row r="71" spans="1:9" x14ac:dyDescent="0.3">
      <c r="A71" s="39"/>
      <c r="B71" s="271" t="str">
        <f>'Historical BS'!B27</f>
        <v>( b ) Financial Assets</v>
      </c>
      <c r="C71" s="272"/>
      <c r="D71" s="273">
        <f>'Historical BS'!K27</f>
        <v>0</v>
      </c>
      <c r="E71" s="273">
        <f>'Historical BS'!L27</f>
        <v>0</v>
      </c>
      <c r="F71" s="273">
        <f>'Historical BS'!M27</f>
        <v>0</v>
      </c>
      <c r="G71" s="273">
        <f>'Historical BS'!N27</f>
        <v>0</v>
      </c>
      <c r="H71" s="273">
        <f>'Historical BS'!O27</f>
        <v>0</v>
      </c>
    </row>
    <row r="72" spans="1:9" x14ac:dyDescent="0.3">
      <c r="A72" s="39"/>
      <c r="B72" s="271" t="str">
        <f>'Historical BS'!B28</f>
        <v>( i ) Investments</v>
      </c>
      <c r="C72" s="272"/>
      <c r="D72" s="273">
        <f>'Historical BS'!K28</f>
        <v>0</v>
      </c>
      <c r="E72" s="273">
        <f>'Historical BS'!L28</f>
        <v>0</v>
      </c>
      <c r="F72" s="273">
        <f>'Historical BS'!M28</f>
        <v>0</v>
      </c>
      <c r="G72" s="273">
        <f>'Historical BS'!N28</f>
        <v>0</v>
      </c>
      <c r="H72" s="273">
        <f>'Historical BS'!O28</f>
        <v>0</v>
      </c>
    </row>
    <row r="73" spans="1:9" x14ac:dyDescent="0.3">
      <c r="A73" s="40"/>
      <c r="B73" s="271" t="str">
        <f>'Historical BS'!B29</f>
        <v>( ii ) Trade receivables</v>
      </c>
      <c r="C73" s="272"/>
      <c r="D73" s="273">
        <f>'Historical BS'!K29</f>
        <v>656199</v>
      </c>
      <c r="E73" s="273">
        <f>'Historical BS'!L29</f>
        <v>610809</v>
      </c>
      <c r="F73" s="273">
        <f>'Historical BS'!M29</f>
        <v>703348</v>
      </c>
      <c r="G73" s="273">
        <f>'Historical BS'!N29</f>
        <v>739238</v>
      </c>
      <c r="H73" s="273">
        <f>'Historical BS'!O29</f>
        <v>911637</v>
      </c>
    </row>
    <row r="74" spans="1:9" x14ac:dyDescent="0.3">
      <c r="A74" s="39"/>
      <c r="B74" s="271" t="str">
        <f>'Historical BS'!B30</f>
        <v>( iii ) Contract Assets</v>
      </c>
      <c r="C74" s="272"/>
      <c r="D74" s="273">
        <f>'Historical BS'!K30</f>
        <v>0</v>
      </c>
      <c r="E74" s="273">
        <f>'Historical BS'!L30</f>
        <v>0</v>
      </c>
      <c r="F74" s="273">
        <f>'Historical BS'!M30</f>
        <v>0</v>
      </c>
      <c r="G74" s="273">
        <f>'Historical BS'!N30</f>
        <v>0</v>
      </c>
      <c r="H74" s="273">
        <f>'Historical BS'!O30</f>
        <v>0</v>
      </c>
    </row>
    <row r="75" spans="1:9" x14ac:dyDescent="0.3">
      <c r="A75" s="39"/>
      <c r="B75" s="271" t="str">
        <f>'Historical BS'!B31</f>
        <v>( iv ) Cash and Cash Equivalents</v>
      </c>
      <c r="C75" s="272"/>
      <c r="D75" s="273">
        <f>'Historical BS'!K31</f>
        <v>304290</v>
      </c>
      <c r="E75" s="273">
        <f>'Historical BS'!L31</f>
        <v>130086</v>
      </c>
      <c r="F75" s="273">
        <f>'Historical BS'!M31</f>
        <v>394569</v>
      </c>
      <c r="G75" s="273">
        <f>'Historical BS'!N31</f>
        <v>120632</v>
      </c>
      <c r="H75" s="273">
        <f>'Historical BS'!O31</f>
        <v>71345</v>
      </c>
    </row>
    <row r="76" spans="1:9" x14ac:dyDescent="0.3">
      <c r="A76" s="39"/>
      <c r="B76" s="271" t="str">
        <f>'Historical BS'!B32</f>
        <v>Bank Balances other than Cash and Cash Equivalents</v>
      </c>
      <c r="C76" s="272"/>
      <c r="D76" s="273">
        <f>'Historical BS'!K32</f>
        <v>203086</v>
      </c>
      <c r="E76" s="273">
        <f>'Historical BS'!L32</f>
        <v>626288</v>
      </c>
      <c r="F76" s="273">
        <f>'Historical BS'!M32</f>
        <v>416589</v>
      </c>
      <c r="G76" s="273">
        <f>'Historical BS'!N32</f>
        <v>985027</v>
      </c>
      <c r="H76" s="273">
        <f>'Historical BS'!O32</f>
        <v>883165</v>
      </c>
    </row>
    <row r="77" spans="1:9" x14ac:dyDescent="0.3">
      <c r="A77" s="39"/>
      <c r="B77" s="271" t="str">
        <f>'Historical BS'!B33</f>
        <v>( vi ) Loans</v>
      </c>
      <c r="C77" s="272"/>
      <c r="D77" s="273">
        <f>'Historical BS'!K33</f>
        <v>152</v>
      </c>
      <c r="E77" s="273">
        <f>'Historical BS'!L33</f>
        <v>148</v>
      </c>
      <c r="F77" s="273">
        <f>'Historical BS'!M33</f>
        <v>172</v>
      </c>
      <c r="G77" s="273">
        <f>'Historical BS'!N33</f>
        <v>141</v>
      </c>
      <c r="H77" s="273">
        <f>'Historical BS'!O33</f>
        <v>147</v>
      </c>
    </row>
    <row r="78" spans="1:9" x14ac:dyDescent="0.3">
      <c r="A78" s="39"/>
      <c r="B78" s="271" t="str">
        <f>'Historical BS'!B34</f>
        <v>( vii ) Other Financial Assets</v>
      </c>
      <c r="C78" s="272"/>
      <c r="D78" s="273">
        <f>'Historical BS'!K34</f>
        <v>6066</v>
      </c>
      <c r="E78" s="273">
        <f>'Historical BS'!L34</f>
        <v>10254</v>
      </c>
      <c r="F78" s="273">
        <f>'Historical BS'!M34</f>
        <v>20342</v>
      </c>
      <c r="G78" s="273">
        <f>'Historical BS'!N34</f>
        <v>29440</v>
      </c>
      <c r="H78" s="273">
        <f>'Historical BS'!O34</f>
        <v>24133</v>
      </c>
    </row>
    <row r="79" spans="1:9" x14ac:dyDescent="0.3">
      <c r="B79" s="271" t="str">
        <f>'Historical BS'!B35</f>
        <v>( c ) Current Tax Assets ( Net )</v>
      </c>
      <c r="C79" s="272"/>
      <c r="D79" s="273">
        <f>'Historical BS'!K35</f>
        <v>13364</v>
      </c>
      <c r="E79" s="273">
        <f>'Historical BS'!L35</f>
        <v>14474</v>
      </c>
      <c r="F79" s="273">
        <f>'Historical BS'!M35</f>
        <v>40314</v>
      </c>
      <c r="G79" s="273">
        <f>'Historical BS'!N35</f>
        <v>44961</v>
      </c>
      <c r="H79" s="273">
        <f>'Historical BS'!O35</f>
        <v>35362</v>
      </c>
    </row>
    <row r="80" spans="1:9" x14ac:dyDescent="0.3">
      <c r="B80" s="271" t="str">
        <f>'Historical BS'!B36</f>
        <v>( d ) Other Currents Assets</v>
      </c>
      <c r="C80" s="272"/>
      <c r="D80" s="273">
        <f>'Historical BS'!K36</f>
        <v>691376</v>
      </c>
      <c r="E80" s="273">
        <f>'Historical BS'!L36</f>
        <v>778122</v>
      </c>
      <c r="F80" s="273">
        <f>'Historical BS'!M36</f>
        <v>784636</v>
      </c>
      <c r="G80" s="273">
        <f>'Historical BS'!N36</f>
        <v>742170</v>
      </c>
      <c r="H80" s="273">
        <f>'Historical BS'!O36</f>
        <v>648101</v>
      </c>
    </row>
    <row r="81" spans="2:8" x14ac:dyDescent="0.3">
      <c r="B81" s="41" t="str">
        <f>'Historical BS'!B37</f>
        <v>Total current assets</v>
      </c>
      <c r="C81" s="48"/>
      <c r="D81" s="49">
        <f>'Historical BS'!K37</f>
        <v>2371331</v>
      </c>
      <c r="E81" s="49">
        <f>'Historical BS'!L37</f>
        <v>2729371</v>
      </c>
      <c r="F81" s="49">
        <f>'Historical BS'!M37</f>
        <v>3004774</v>
      </c>
      <c r="G81" s="49">
        <f>'Historical BS'!N37</f>
        <v>3406298</v>
      </c>
      <c r="H81" s="49">
        <f>'Historical BS'!O37</f>
        <v>3485788</v>
      </c>
    </row>
    <row r="82" spans="2:8" x14ac:dyDescent="0.3">
      <c r="B82" s="39"/>
      <c r="D82" s="111"/>
      <c r="E82" s="111"/>
      <c r="F82" s="111"/>
      <c r="G82" s="111"/>
      <c r="H82" s="111"/>
    </row>
    <row r="83" spans="2:8" x14ac:dyDescent="0.3">
      <c r="B83" s="39"/>
      <c r="D83" s="111"/>
      <c r="E83" s="111"/>
      <c r="F83" s="111"/>
      <c r="G83" s="111"/>
      <c r="H83" s="111"/>
    </row>
    <row r="84" spans="2:8" x14ac:dyDescent="0.3">
      <c r="B84" s="41" t="str">
        <f>'Historical BS'!B40</f>
        <v>Total Assets</v>
      </c>
      <c r="C84" s="48"/>
      <c r="D84" s="198">
        <f>'Historical BS'!K40</f>
        <v>2948967</v>
      </c>
      <c r="E84" s="198">
        <f>'Historical BS'!L40</f>
        <v>3391058</v>
      </c>
      <c r="F84" s="198">
        <f>'Historical BS'!M40</f>
        <v>3549198.1</v>
      </c>
      <c r="G84" s="198">
        <f>'Historical BS'!N40</f>
        <v>3952749.1</v>
      </c>
      <c r="H84" s="198">
        <f>'Historical BS'!O40</f>
        <v>4083186</v>
      </c>
    </row>
    <row r="85" spans="2:8" x14ac:dyDescent="0.3">
      <c r="B85" s="39">
        <f>'Historical BS'!B41</f>
        <v>0</v>
      </c>
      <c r="D85" s="111"/>
      <c r="E85" s="111"/>
      <c r="F85" s="111"/>
      <c r="G85" s="111"/>
      <c r="H85" s="111"/>
    </row>
    <row r="86" spans="2:8" x14ac:dyDescent="0.3">
      <c r="B86" s="41" t="str">
        <f>'Historical BS'!B42</f>
        <v>EQUITY AND LIABILITIES</v>
      </c>
      <c r="C86" s="48"/>
      <c r="D86" s="198"/>
      <c r="E86" s="198"/>
      <c r="F86" s="198"/>
      <c r="G86" s="198"/>
      <c r="H86" s="198"/>
    </row>
    <row r="87" spans="2:8" x14ac:dyDescent="0.3">
      <c r="B87" s="271" t="str">
        <f>'Historical BS'!B43</f>
        <v>Equity</v>
      </c>
      <c r="C87" s="272"/>
      <c r="D87" s="273"/>
      <c r="E87" s="273"/>
      <c r="F87" s="273"/>
      <c r="G87" s="273"/>
      <c r="H87" s="273"/>
    </row>
    <row r="88" spans="2:8" x14ac:dyDescent="0.3">
      <c r="B88" s="271" t="str">
        <f>'Historical BS'!B44</f>
        <v>( a ) Equity Share capital</v>
      </c>
      <c r="C88" s="272"/>
      <c r="D88" s="273">
        <f>'Historical BS'!K44</f>
        <v>24366</v>
      </c>
      <c r="E88" s="273">
        <f>'Historical BS'!L44</f>
        <v>24366</v>
      </c>
      <c r="F88" s="273">
        <f>'Historical BS'!M44</f>
        <v>73098</v>
      </c>
      <c r="G88" s="273">
        <f>'Historical BS'!N44</f>
        <v>73098</v>
      </c>
      <c r="H88" s="273">
        <f>'Historical BS'!O44</f>
        <v>73098</v>
      </c>
    </row>
    <row r="89" spans="2:8" x14ac:dyDescent="0.3">
      <c r="B89" s="271" t="str">
        <f>'Historical BS'!B45</f>
        <v>( b ) Other Equity</v>
      </c>
      <c r="C89" s="272"/>
      <c r="D89" s="273">
        <f>'Historical BS'!K45</f>
        <v>1081592</v>
      </c>
      <c r="E89" s="273">
        <f>'Historical BS'!L45</f>
        <v>1204227</v>
      </c>
      <c r="F89" s="273">
        <f>'Historical BS'!M45</f>
        <v>1313065</v>
      </c>
      <c r="G89" s="273">
        <f>'Historical BS'!N45</f>
        <v>1559549</v>
      </c>
      <c r="H89" s="273">
        <f>'Historical BS'!O45</f>
        <v>1924291</v>
      </c>
    </row>
    <row r="90" spans="2:8" x14ac:dyDescent="0.3">
      <c r="B90" s="271" t="str">
        <f>'Historical BS'!B46</f>
        <v>Equity attributable to owners of the parent</v>
      </c>
      <c r="C90" s="272"/>
      <c r="D90" s="273">
        <f>'Historical BS'!K46</f>
        <v>1105958</v>
      </c>
      <c r="E90" s="273">
        <f>'Historical BS'!L46</f>
        <v>1228593</v>
      </c>
      <c r="F90" s="273">
        <f>'Historical BS'!M46</f>
        <v>1386163</v>
      </c>
      <c r="G90" s="273">
        <f>'Historical BS'!N46</f>
        <v>1632647</v>
      </c>
      <c r="H90" s="273">
        <f>'Historical BS'!O46</f>
        <v>1997389</v>
      </c>
    </row>
    <row r="91" spans="2:8" x14ac:dyDescent="0.3">
      <c r="B91" s="271" t="str">
        <f>'Historical BS'!B47</f>
        <v>Non - controlling interest</v>
      </c>
      <c r="C91" s="272"/>
      <c r="D91" s="273">
        <f>'Historical BS'!K47</f>
        <v>1499</v>
      </c>
      <c r="E91" s="273">
        <f>'Historical BS'!L47</f>
        <v>1634</v>
      </c>
      <c r="F91" s="273">
        <f>'Historical BS'!M47</f>
        <v>1775</v>
      </c>
      <c r="G91" s="273">
        <f>'Historical BS'!N47</f>
        <v>1792</v>
      </c>
      <c r="H91" s="273">
        <f>'Historical BS'!O47</f>
        <v>1894</v>
      </c>
    </row>
    <row r="92" spans="2:8" x14ac:dyDescent="0.3">
      <c r="B92" s="41" t="str">
        <f>'Historical BS'!B48</f>
        <v>Total equity</v>
      </c>
      <c r="C92" s="48"/>
      <c r="D92" s="49">
        <f>'Historical BS'!K48</f>
        <v>1107457</v>
      </c>
      <c r="E92" s="49">
        <f>'Historical BS'!L48</f>
        <v>1230227</v>
      </c>
      <c r="F92" s="49">
        <f>'Historical BS'!M48</f>
        <v>1387938</v>
      </c>
      <c r="G92" s="49">
        <f>'Historical BS'!N48</f>
        <v>1634439</v>
      </c>
      <c r="H92" s="49">
        <f>'Historical BS'!O48</f>
        <v>1999283</v>
      </c>
    </row>
    <row r="93" spans="2:8" x14ac:dyDescent="0.3">
      <c r="B93" s="39"/>
      <c r="D93" s="111"/>
      <c r="E93" s="111"/>
      <c r="F93" s="111"/>
      <c r="G93" s="111"/>
      <c r="H93" s="111"/>
    </row>
    <row r="94" spans="2:8" x14ac:dyDescent="0.3">
      <c r="B94" s="197" t="str">
        <f>'Historical BS'!B50</f>
        <v>LIABILITIES</v>
      </c>
      <c r="C94" s="77"/>
      <c r="D94" s="198"/>
      <c r="E94" s="198"/>
      <c r="F94" s="198"/>
      <c r="G94" s="198"/>
      <c r="H94" s="198"/>
    </row>
    <row r="95" spans="2:8" x14ac:dyDescent="0.3">
      <c r="B95" s="271" t="str">
        <f>'Historical BS'!B51</f>
        <v>Non - current liabilities</v>
      </c>
      <c r="C95" s="272"/>
      <c r="D95" s="273"/>
      <c r="E95" s="273"/>
      <c r="F95" s="273"/>
      <c r="G95" s="273"/>
      <c r="H95" s="273"/>
    </row>
    <row r="96" spans="2:8" x14ac:dyDescent="0.3">
      <c r="B96" s="271" t="str">
        <f>'Historical BS'!B52</f>
        <v>( a ) Financial Liabilities</v>
      </c>
      <c r="C96" s="272"/>
      <c r="D96" s="273">
        <f>'Historical BS'!K52</f>
        <v>0</v>
      </c>
      <c r="E96" s="273">
        <f>'Historical BS'!L52</f>
        <v>0</v>
      </c>
      <c r="F96" s="273">
        <f>'Historical BS'!M52</f>
        <v>0</v>
      </c>
      <c r="G96" s="273">
        <f>'Historical BS'!N52</f>
        <v>0</v>
      </c>
      <c r="H96" s="273">
        <f>'Historical BS'!O52</f>
        <v>0</v>
      </c>
    </row>
    <row r="97" spans="2:8" x14ac:dyDescent="0.3">
      <c r="B97" s="271" t="str">
        <f>'Historical BS'!B53</f>
        <v>( i ) Borrowings</v>
      </c>
      <c r="C97" s="272"/>
      <c r="D97" s="273">
        <f>'Historical BS'!K53</f>
        <v>0</v>
      </c>
      <c r="E97" s="273">
        <f>'Historical BS'!L53</f>
        <v>0</v>
      </c>
      <c r="F97" s="273">
        <f>'Historical BS'!M53</f>
        <v>0</v>
      </c>
      <c r="G97" s="273">
        <f>'Historical BS'!N53</f>
        <v>0</v>
      </c>
      <c r="H97" s="273">
        <f>'Historical BS'!O53</f>
        <v>0</v>
      </c>
    </row>
    <row r="98" spans="2:8" x14ac:dyDescent="0.3">
      <c r="B98" s="271" t="str">
        <f>'Historical BS'!B54</f>
        <v>( ia ) Lease Liabilities</v>
      </c>
      <c r="C98" s="272"/>
      <c r="D98" s="273">
        <f>'Historical BS'!K54</f>
        <v>117</v>
      </c>
      <c r="E98" s="273">
        <f>'Historical BS'!L54</f>
        <v>5151</v>
      </c>
      <c r="F98" s="273">
        <f>'Historical BS'!M54</f>
        <v>5942</v>
      </c>
      <c r="G98" s="273">
        <f>'Historical BS'!N54</f>
        <v>6025</v>
      </c>
      <c r="H98" s="273">
        <f>'Historical BS'!O54</f>
        <v>5869</v>
      </c>
    </row>
    <row r="99" spans="2:8" x14ac:dyDescent="0.3">
      <c r="B99" s="271" t="str">
        <f>'Historical BS'!B55</f>
        <v>( ii ) Trade payables</v>
      </c>
      <c r="C99" s="272"/>
      <c r="D99" s="273">
        <f>'Historical BS'!K55</f>
        <v>0</v>
      </c>
      <c r="E99" s="273">
        <f>'Historical BS'!L55</f>
        <v>0</v>
      </c>
      <c r="F99" s="273">
        <f>'Historical BS'!M55</f>
        <v>0</v>
      </c>
      <c r="G99" s="273">
        <f>'Historical BS'!N55</f>
        <v>0</v>
      </c>
      <c r="H99" s="273">
        <f>'Historical BS'!O55</f>
        <v>0</v>
      </c>
    </row>
    <row r="100" spans="2:8" x14ac:dyDescent="0.3">
      <c r="B100" s="271" t="str">
        <f>'Historical BS'!B56</f>
        <v>A ) total outstanding dues of micro enterprises and small enterprises</v>
      </c>
      <c r="C100" s="272"/>
      <c r="D100" s="273">
        <f>'Historical BS'!K56</f>
        <v>0</v>
      </c>
      <c r="E100" s="273">
        <f>'Historical BS'!L56</f>
        <v>0</v>
      </c>
      <c r="F100" s="273">
        <f>'Historical BS'!M56</f>
        <v>0</v>
      </c>
      <c r="G100" s="273">
        <f>'Historical BS'!N56</f>
        <v>0</v>
      </c>
      <c r="H100" s="273">
        <f>'Historical BS'!O56</f>
        <v>0</v>
      </c>
    </row>
    <row r="101" spans="2:8" x14ac:dyDescent="0.3">
      <c r="B101" s="271" t="str">
        <f>'Historical BS'!B57</f>
        <v>B ) total outstanding dues of creditors other than micro enterprises and small enterprises</v>
      </c>
      <c r="C101" s="272"/>
      <c r="D101" s="273">
        <f>'Historical BS'!K57</f>
        <v>29</v>
      </c>
      <c r="E101" s="273">
        <f>'Historical BS'!L57</f>
        <v>34</v>
      </c>
      <c r="F101" s="273">
        <f>'Historical BS'!M57</f>
        <v>37</v>
      </c>
      <c r="G101" s="273">
        <f>'Historical BS'!N57</f>
        <v>0</v>
      </c>
      <c r="H101" s="273">
        <f>'Historical BS'!O57</f>
        <v>0</v>
      </c>
    </row>
    <row r="102" spans="2:8" x14ac:dyDescent="0.3">
      <c r="B102" s="271" t="str">
        <f>'Historical BS'!B58</f>
        <v>Sub Total - Trade payables</v>
      </c>
      <c r="C102" s="272"/>
      <c r="D102" s="273">
        <f>'Historical BS'!K58</f>
        <v>0</v>
      </c>
      <c r="E102" s="273">
        <f>'Historical BS'!L58</f>
        <v>0</v>
      </c>
      <c r="F102" s="273">
        <f>'Historical BS'!M58</f>
        <v>0</v>
      </c>
      <c r="G102" s="273">
        <f>'Historical BS'!N58</f>
        <v>0</v>
      </c>
      <c r="H102" s="273">
        <f>'Historical BS'!O58</f>
        <v>0</v>
      </c>
    </row>
    <row r="103" spans="2:8" x14ac:dyDescent="0.3">
      <c r="B103" s="271" t="str">
        <f>'Historical BS'!B59</f>
        <v>( iii ) Other Financial Liabilities</v>
      </c>
      <c r="C103" s="272"/>
      <c r="D103" s="273">
        <f>'Historical BS'!K59</f>
        <v>671</v>
      </c>
      <c r="E103" s="273">
        <f>'Historical BS'!L59</f>
        <v>2022</v>
      </c>
      <c r="F103" s="273">
        <f>'Historical BS'!M59</f>
        <v>473</v>
      </c>
      <c r="G103" s="273">
        <f>'Historical BS'!N59</f>
        <v>480</v>
      </c>
      <c r="H103" s="273">
        <f>'Historical BS'!O59</f>
        <v>1457</v>
      </c>
    </row>
    <row r="104" spans="2:8" x14ac:dyDescent="0.3">
      <c r="B104" s="271" t="str">
        <f>'Historical BS'!B60</f>
        <v>( b ) Provisions</v>
      </c>
      <c r="C104" s="272"/>
      <c r="D104" s="273">
        <f>'Historical BS'!K60</f>
        <v>141203</v>
      </c>
      <c r="E104" s="273">
        <f>'Historical BS'!L60</f>
        <v>180532</v>
      </c>
      <c r="F104" s="273">
        <f>'Historical BS'!M60</f>
        <v>84465</v>
      </c>
      <c r="G104" s="273">
        <f>'Historical BS'!N60</f>
        <v>96728</v>
      </c>
      <c r="H104" s="273">
        <f>'Historical BS'!O60</f>
        <v>90216</v>
      </c>
    </row>
    <row r="105" spans="2:8" x14ac:dyDescent="0.3">
      <c r="B105" s="271" t="str">
        <f>'Historical BS'!B61</f>
        <v>( c ) Deferred Tax Liabilities ( Net )</v>
      </c>
      <c r="C105" s="272"/>
      <c r="D105" s="273">
        <f>'Historical BS'!K61</f>
        <v>36</v>
      </c>
      <c r="E105" s="273">
        <f>'Historical BS'!L61</f>
        <v>145</v>
      </c>
      <c r="F105" s="273">
        <f>'Historical BS'!M61</f>
        <v>289</v>
      </c>
      <c r="G105" s="273">
        <f>'Historical BS'!N61</f>
        <v>547</v>
      </c>
      <c r="H105" s="273">
        <f>'Historical BS'!O61</f>
        <v>952</v>
      </c>
    </row>
    <row r="106" spans="2:8" x14ac:dyDescent="0.3">
      <c r="B106" s="271" t="str">
        <f>'Historical BS'!B62</f>
        <v>( d ) Other Non - Current Liabilities</v>
      </c>
      <c r="C106" s="272"/>
      <c r="D106" s="273">
        <f>'Historical BS'!K62</f>
        <v>16499</v>
      </c>
      <c r="E106" s="273">
        <f>'Historical BS'!L62</f>
        <v>14843</v>
      </c>
      <c r="F106" s="273">
        <f>'Historical BS'!M62</f>
        <v>13395</v>
      </c>
      <c r="G106" s="273">
        <f>'Historical BS'!N62</f>
        <v>11776</v>
      </c>
      <c r="H106" s="273">
        <f>'Historical BS'!O62</f>
        <v>10155</v>
      </c>
    </row>
    <row r="107" spans="2:8" x14ac:dyDescent="0.3">
      <c r="B107" s="41" t="str">
        <f>'Historical BS'!B63</f>
        <v>Total non - current liabilities</v>
      </c>
      <c r="C107" s="48"/>
      <c r="D107" s="49">
        <f>'Historical BS'!K63</f>
        <v>158555</v>
      </c>
      <c r="E107" s="49">
        <f>'Historical BS'!L63</f>
        <v>202727</v>
      </c>
      <c r="F107" s="49">
        <f>'Historical BS'!M63</f>
        <v>104601</v>
      </c>
      <c r="G107" s="49">
        <f>'Historical BS'!N63</f>
        <v>115556</v>
      </c>
      <c r="H107" s="49">
        <f>'Historical BS'!O63</f>
        <v>108649</v>
      </c>
    </row>
    <row r="108" spans="2:8" x14ac:dyDescent="0.3">
      <c r="B108" s="39"/>
      <c r="D108" s="111"/>
      <c r="E108" s="111"/>
      <c r="F108" s="111"/>
      <c r="G108" s="111"/>
      <c r="H108" s="111"/>
    </row>
    <row r="109" spans="2:8" x14ac:dyDescent="0.3">
      <c r="B109" s="290" t="str">
        <f>'Historical BS'!B65</f>
        <v>Current Liabilities</v>
      </c>
      <c r="C109" s="272"/>
      <c r="D109" s="273"/>
      <c r="E109" s="273"/>
      <c r="F109" s="273"/>
      <c r="G109" s="273"/>
      <c r="H109" s="273"/>
    </row>
    <row r="110" spans="2:8" x14ac:dyDescent="0.3">
      <c r="B110" s="271" t="str">
        <f>'Historical BS'!B66</f>
        <v>( a ) Financial liabilities</v>
      </c>
      <c r="C110" s="272"/>
      <c r="D110" s="273">
        <f>'Historical BS'!K66</f>
        <v>0</v>
      </c>
      <c r="E110" s="273">
        <f>'Historical BS'!L66</f>
        <v>0</v>
      </c>
      <c r="F110" s="273">
        <f>'Historical BS'!M66</f>
        <v>0</v>
      </c>
      <c r="G110" s="273">
        <f>'Historical BS'!N66</f>
        <v>0</v>
      </c>
      <c r="H110" s="273">
        <f>'Historical BS'!O66</f>
        <v>0</v>
      </c>
    </row>
    <row r="111" spans="2:8" x14ac:dyDescent="0.3">
      <c r="B111" s="271" t="str">
        <f>'Historical BS'!B67</f>
        <v>( i ) Borrowings</v>
      </c>
      <c r="C111" s="272"/>
      <c r="D111" s="273">
        <f>'Historical BS'!K67</f>
        <v>0</v>
      </c>
      <c r="E111" s="273">
        <f>'Historical BS'!L67</f>
        <v>0</v>
      </c>
      <c r="F111" s="273">
        <f>'Historical BS'!M67</f>
        <v>0</v>
      </c>
      <c r="G111" s="273">
        <f>'Historical BS'!N67</f>
        <v>0</v>
      </c>
      <c r="H111" s="273">
        <f>'Historical BS'!O67</f>
        <v>0</v>
      </c>
    </row>
    <row r="112" spans="2:8" x14ac:dyDescent="0.3">
      <c r="B112" s="271" t="str">
        <f>'Historical BS'!B68</f>
        <v>( ia ) Lease Liabilities</v>
      </c>
      <c r="C112" s="272"/>
      <c r="D112" s="273">
        <f>'Historical BS'!K68</f>
        <v>135</v>
      </c>
      <c r="E112" s="273">
        <f>'Historical BS'!L68</f>
        <v>119</v>
      </c>
      <c r="F112" s="273">
        <f>'Historical BS'!M68</f>
        <v>192</v>
      </c>
      <c r="G112" s="273">
        <f>'Historical BS'!N68</f>
        <v>226</v>
      </c>
      <c r="H112" s="273">
        <f>'Historical BS'!O68</f>
        <v>254</v>
      </c>
    </row>
    <row r="113" spans="1:22" x14ac:dyDescent="0.3">
      <c r="B113" s="271" t="str">
        <f>'Historical BS'!B69</f>
        <v>( ii ) Trade payables</v>
      </c>
      <c r="C113" s="272"/>
      <c r="D113" s="273">
        <f>'Historical BS'!K69</f>
        <v>0</v>
      </c>
      <c r="E113" s="273">
        <f>'Historical BS'!L69</f>
        <v>0</v>
      </c>
      <c r="F113" s="273">
        <f>'Historical BS'!M69</f>
        <v>0</v>
      </c>
      <c r="G113" s="273">
        <f>'Historical BS'!N69</f>
        <v>0</v>
      </c>
      <c r="H113" s="273">
        <f>'Historical BS'!O69</f>
        <v>0</v>
      </c>
    </row>
    <row r="114" spans="1:22" x14ac:dyDescent="0.3">
      <c r="B114" s="271" t="str">
        <f>'Historical BS'!B70</f>
        <v>A ) total outstanding dues of micro enterprises and small enterprises</v>
      </c>
      <c r="C114" s="272"/>
      <c r="D114" s="273">
        <f>'Historical BS'!K70</f>
        <v>15343</v>
      </c>
      <c r="E114" s="273">
        <f>'Historical BS'!L70</f>
        <v>24844</v>
      </c>
      <c r="F114" s="273">
        <f>'Historical BS'!M70</f>
        <v>20754</v>
      </c>
      <c r="G114" s="273">
        <f>'Historical BS'!N70</f>
        <v>21306</v>
      </c>
      <c r="H114" s="273">
        <f>'Historical BS'!O70</f>
        <v>17777</v>
      </c>
    </row>
    <row r="115" spans="1:22" x14ac:dyDescent="0.3">
      <c r="B115" s="271" t="str">
        <f>'Historical BS'!B71</f>
        <v>B ) total outstanding dues of creditors other than micro enterprises and small enterprises</v>
      </c>
      <c r="C115" s="272"/>
      <c r="D115" s="273">
        <f>'Historical BS'!K71</f>
        <v>314547</v>
      </c>
      <c r="E115" s="273">
        <f>'Historical BS'!L71</f>
        <v>312086</v>
      </c>
      <c r="F115" s="273">
        <f>'Historical BS'!M71</f>
        <v>312284</v>
      </c>
      <c r="G115" s="273">
        <f>'Historical BS'!N71</f>
        <v>349325</v>
      </c>
      <c r="H115" s="273">
        <f>'Historical BS'!O71</f>
        <v>316100</v>
      </c>
    </row>
    <row r="116" spans="1:22" x14ac:dyDescent="0.3">
      <c r="B116" s="271" t="str">
        <f>'Historical BS'!B72</f>
        <v>Sub Total - Trade payables</v>
      </c>
      <c r="C116" s="272"/>
      <c r="D116" s="273">
        <f>'Historical BS'!K72</f>
        <v>329890</v>
      </c>
      <c r="E116" s="273">
        <f>'Historical BS'!L72</f>
        <v>336930</v>
      </c>
      <c r="F116" s="273">
        <f>'Historical BS'!M72</f>
        <v>333038</v>
      </c>
      <c r="G116" s="273">
        <f>'Historical BS'!N72</f>
        <v>370631</v>
      </c>
      <c r="H116" s="273">
        <f>'Historical BS'!O72</f>
        <v>333877</v>
      </c>
    </row>
    <row r="117" spans="1:22" x14ac:dyDescent="0.3">
      <c r="B117" s="271" t="str">
        <f>'Historical BS'!B73</f>
        <v>( iii ) Other Financial liabilities</v>
      </c>
      <c r="C117" s="272"/>
      <c r="D117" s="273">
        <f>'Historical BS'!K73</f>
        <v>95895</v>
      </c>
      <c r="E117" s="273">
        <f>'Historical BS'!L73</f>
        <v>96043</v>
      </c>
      <c r="F117" s="273">
        <f>'Historical BS'!M73</f>
        <v>129023</v>
      </c>
      <c r="G117" s="273">
        <f>'Historical BS'!N73</f>
        <v>131714</v>
      </c>
      <c r="H117" s="273">
        <f>'Historical BS'!O73</f>
        <v>136832</v>
      </c>
    </row>
    <row r="118" spans="1:22" x14ac:dyDescent="0.3">
      <c r="B118" s="271" t="str">
        <f>'Historical BS'!B74</f>
        <v>( b ) Other Current Liabilities</v>
      </c>
      <c r="C118" s="272"/>
      <c r="D118" s="273">
        <f>'Historical BS'!K74</f>
        <v>1220296</v>
      </c>
      <c r="E118" s="273">
        <f>'Historical BS'!L74</f>
        <v>1480907</v>
      </c>
      <c r="F118" s="273">
        <f>'Historical BS'!M74</f>
        <v>1529906</v>
      </c>
      <c r="G118" s="273">
        <f>'Historical BS'!N74</f>
        <v>1628984</v>
      </c>
      <c r="H118" s="273">
        <f>'Historical BS'!O74</f>
        <v>1428702</v>
      </c>
    </row>
    <row r="119" spans="1:22" x14ac:dyDescent="0.3">
      <c r="B119" s="271" t="str">
        <f>'Historical BS'!B75</f>
        <v>( c ) Provisions</v>
      </c>
      <c r="C119" s="272"/>
      <c r="D119" s="273">
        <f>'Historical BS'!K75</f>
        <v>35028</v>
      </c>
      <c r="E119" s="273">
        <f>'Historical BS'!L75</f>
        <v>42382</v>
      </c>
      <c r="F119" s="273">
        <f>'Historical BS'!M75</f>
        <v>62754</v>
      </c>
      <c r="G119" s="273">
        <f>'Historical BS'!N75</f>
        <v>69453</v>
      </c>
      <c r="H119" s="273">
        <f>'Historical BS'!O75</f>
        <v>73971</v>
      </c>
    </row>
    <row r="120" spans="1:22" x14ac:dyDescent="0.3">
      <c r="B120" s="271" t="str">
        <f>'Historical BS'!B76</f>
        <v>( d ) Current tax liabilities ( Net )</v>
      </c>
      <c r="C120" s="272"/>
      <c r="D120" s="273">
        <f>'Historical BS'!K76</f>
        <v>0</v>
      </c>
      <c r="E120" s="273">
        <f>'Historical BS'!L76</f>
        <v>69</v>
      </c>
      <c r="F120" s="273">
        <f>'Historical BS'!M76</f>
        <v>0</v>
      </c>
      <c r="G120" s="273">
        <f>'Historical BS'!N76</f>
        <v>28</v>
      </c>
      <c r="H120" s="273">
        <f>'Historical BS'!O76</f>
        <v>0</v>
      </c>
    </row>
    <row r="121" spans="1:22" x14ac:dyDescent="0.3">
      <c r="B121" s="271" t="str">
        <f>'Historical BS'!B77</f>
        <v>( e ) Deferred Income</v>
      </c>
      <c r="C121" s="272"/>
      <c r="D121" s="273">
        <f>'Historical BS'!K77</f>
        <v>1711</v>
      </c>
      <c r="E121" s="273">
        <f>'Historical BS'!L77</f>
        <v>1654</v>
      </c>
      <c r="F121" s="273">
        <f>'Historical BS'!M77</f>
        <v>1665</v>
      </c>
      <c r="G121" s="273">
        <f>'Historical BS'!N77</f>
        <v>1637</v>
      </c>
      <c r="H121" s="273">
        <f>'Historical BS'!O77</f>
        <v>1618</v>
      </c>
    </row>
    <row r="122" spans="1:22" x14ac:dyDescent="0.3">
      <c r="B122" s="271" t="str">
        <f>'Historical BS'!B78</f>
        <v>Total current liabilities</v>
      </c>
      <c r="C122" s="272"/>
      <c r="D122" s="273">
        <f>'Historical BS'!K78</f>
        <v>1682955</v>
      </c>
      <c r="E122" s="273">
        <f>'Historical BS'!L78</f>
        <v>1958104</v>
      </c>
      <c r="F122" s="273">
        <f>'Historical BS'!M78</f>
        <v>2056578</v>
      </c>
      <c r="G122" s="273">
        <f>'Historical BS'!N78</f>
        <v>2202673</v>
      </c>
      <c r="H122" s="273">
        <f>'Historical BS'!O78</f>
        <v>1975254</v>
      </c>
    </row>
    <row r="123" spans="1:22" x14ac:dyDescent="0.3">
      <c r="B123" s="39"/>
      <c r="D123" s="111"/>
      <c r="E123" s="111"/>
      <c r="F123" s="111"/>
      <c r="G123" s="111"/>
      <c r="H123" s="111"/>
    </row>
    <row r="124" spans="1:22" x14ac:dyDescent="0.3">
      <c r="B124" s="41" t="str">
        <f>'Historical BS'!B80</f>
        <v>Total Equity and Liabilities</v>
      </c>
      <c r="C124" s="48"/>
      <c r="D124" s="49">
        <f>'Historical BS'!K80</f>
        <v>2948967</v>
      </c>
      <c r="E124" s="49">
        <f>'Historical BS'!L80</f>
        <v>3391058</v>
      </c>
      <c r="F124" s="49">
        <f>'Historical BS'!M80</f>
        <v>3549117</v>
      </c>
      <c r="G124" s="49">
        <f>'Historical BS'!N80</f>
        <v>3952668</v>
      </c>
      <c r="H124" s="49">
        <f>'Historical BS'!O80</f>
        <v>4083186</v>
      </c>
    </row>
    <row r="125" spans="1:22" x14ac:dyDescent="0.3">
      <c r="B125" s="39"/>
    </row>
    <row r="126" spans="1:22" s="39" customFormat="1" ht="18" customHeight="1" x14ac:dyDescent="0.4">
      <c r="A126" s="184" t="s">
        <v>362</v>
      </c>
      <c r="B126" s="185"/>
      <c r="C126" s="185"/>
      <c r="D126" s="185"/>
      <c r="E126" s="185"/>
      <c r="F126" s="185"/>
      <c r="G126" s="185"/>
      <c r="H126" s="186"/>
      <c r="I126" s="186"/>
      <c r="J126" s="186"/>
      <c r="K126" s="186"/>
      <c r="L126" s="186"/>
      <c r="M126" s="186"/>
      <c r="N126" s="186"/>
      <c r="O126" s="186"/>
      <c r="P126" s="186"/>
      <c r="Q126" s="186"/>
      <c r="R126" s="186"/>
      <c r="S126" s="186"/>
      <c r="T126" s="186"/>
      <c r="U126" s="186"/>
      <c r="V126" s="186"/>
    </row>
    <row r="127" spans="1:22" x14ac:dyDescent="0.3">
      <c r="B127" s="39"/>
    </row>
    <row r="128" spans="1:22" x14ac:dyDescent="0.3">
      <c r="B128" s="41" t="str">
        <f>'Historical CF'!B5</f>
        <v>Cash flow from Operating Activities</v>
      </c>
      <c r="C128" s="48"/>
      <c r="D128" s="77"/>
      <c r="E128" s="77"/>
      <c r="F128" s="77"/>
      <c r="G128" s="77"/>
      <c r="H128" s="77"/>
    </row>
    <row r="129" spans="2:8" x14ac:dyDescent="0.3">
      <c r="B129" s="271" t="str">
        <f>'Historical CF'!B6</f>
        <v>Profit after share of associate (before exceptional items &amp; tax)</v>
      </c>
      <c r="C129" s="271"/>
      <c r="D129" s="271">
        <f>'Historical CF'!F6</f>
        <v>297220</v>
      </c>
      <c r="E129" s="271">
        <f>'Historical CF'!G6</f>
        <v>321200</v>
      </c>
      <c r="F129" s="271">
        <f>'Historical CF'!H6</f>
        <v>396880</v>
      </c>
      <c r="G129" s="271">
        <f>'Historical CF'!I6</f>
        <v>530834</v>
      </c>
      <c r="H129" s="271">
        <f>'Historical CF'!J6</f>
        <v>713453</v>
      </c>
    </row>
    <row r="130" spans="2:8" x14ac:dyDescent="0.3">
      <c r="B130" s="271" t="str">
        <f>'Historical CF'!B7</f>
        <v>Adjustments for:</v>
      </c>
      <c r="C130" s="271"/>
      <c r="D130" s="271">
        <f>'Historical CF'!F7</f>
        <v>0</v>
      </c>
      <c r="E130" s="271">
        <f>'Historical CF'!G7</f>
        <v>0</v>
      </c>
      <c r="F130" s="271">
        <f>'Historical CF'!H7</f>
        <v>0</v>
      </c>
      <c r="G130" s="271">
        <f>'Historical CF'!I7</f>
        <v>0</v>
      </c>
      <c r="H130" s="271">
        <f>'Historical CF'!J7</f>
        <v>0</v>
      </c>
    </row>
    <row r="131" spans="2:8" x14ac:dyDescent="0.3">
      <c r="B131" s="271" t="str">
        <f>'Historical CF'!B8</f>
        <v>Depreciation and amortisation expense</v>
      </c>
      <c r="C131" s="271"/>
      <c r="D131" s="271">
        <f>'Historical CF'!F8</f>
        <v>38732</v>
      </c>
      <c r="E131" s="271">
        <f>'Historical CF'!G8</f>
        <v>40113</v>
      </c>
      <c r="F131" s="271">
        <f>'Historical CF'!H8</f>
        <v>42882</v>
      </c>
      <c r="G131" s="271">
        <f>'Historical CF'!I8</f>
        <v>44320</v>
      </c>
      <c r="H131" s="271">
        <f>'Historical CF'!J8</f>
        <v>46738</v>
      </c>
    </row>
    <row r="132" spans="2:8" x14ac:dyDescent="0.3">
      <c r="B132" s="271" t="str">
        <f>'Historical CF'!B9</f>
        <v>Provision for intangible assets under development</v>
      </c>
      <c r="C132" s="271"/>
      <c r="D132" s="271">
        <f>'Historical CF'!F9</f>
        <v>7213</v>
      </c>
      <c r="E132" s="271">
        <f>'Historical CF'!G9</f>
        <v>0</v>
      </c>
      <c r="F132" s="271">
        <f>'Historical CF'!H9</f>
        <v>544</v>
      </c>
      <c r="G132" s="271">
        <f>'Historical CF'!I9</f>
        <v>9666</v>
      </c>
      <c r="H132" s="271">
        <f>'Historical CF'!J9</f>
        <v>0</v>
      </c>
    </row>
    <row r="133" spans="2:8" x14ac:dyDescent="0.3">
      <c r="B133" s="271" t="str">
        <f>'Historical CF'!B10</f>
        <v>Intangible assets under development charged off</v>
      </c>
      <c r="C133" s="271"/>
      <c r="D133" s="271">
        <f>'Historical CF'!F10</f>
        <v>75</v>
      </c>
      <c r="E133" s="271">
        <f>'Historical CF'!G10</f>
        <v>0</v>
      </c>
      <c r="F133" s="271">
        <f>'Historical CF'!H10</f>
        <v>1950</v>
      </c>
      <c r="G133" s="271">
        <f>'Historical CF'!I10</f>
        <v>0</v>
      </c>
      <c r="H133" s="271">
        <f>'Historical CF'!J10</f>
        <v>129</v>
      </c>
    </row>
    <row r="134" spans="2:8" x14ac:dyDescent="0.3">
      <c r="B134" s="271" t="str">
        <f>'Historical CF'!B11</f>
        <v>Capital WIP charged off</v>
      </c>
      <c r="C134" s="271"/>
      <c r="D134" s="271">
        <f>'Historical CF'!F11</f>
        <v>1468</v>
      </c>
      <c r="E134" s="271">
        <f>'Historical CF'!G11</f>
        <v>0</v>
      </c>
      <c r="F134" s="271">
        <f>'Historical CF'!H11</f>
        <v>0</v>
      </c>
      <c r="G134" s="271">
        <f>'Historical CF'!I11</f>
        <v>0</v>
      </c>
      <c r="H134" s="271">
        <f>'Historical CF'!J11</f>
        <v>0</v>
      </c>
    </row>
    <row r="135" spans="2:8" x14ac:dyDescent="0.3">
      <c r="B135" s="271" t="str">
        <f>'Historical CF'!B12</f>
        <v>Provision Others – Contract costs</v>
      </c>
      <c r="C135" s="271"/>
      <c r="D135" s="271">
        <f>'Historical CF'!F12</f>
        <v>0</v>
      </c>
      <c r="E135" s="271">
        <f>'Historical CF'!G12</f>
        <v>0</v>
      </c>
      <c r="F135" s="271">
        <f>'Historical CF'!H12</f>
        <v>4180</v>
      </c>
      <c r="G135" s="271">
        <f>'Historical CF'!I12</f>
        <v>2</v>
      </c>
      <c r="H135" s="271">
        <f>'Historical CF'!J12</f>
        <v>0</v>
      </c>
    </row>
    <row r="136" spans="2:8" x14ac:dyDescent="0.3">
      <c r="B136" s="271" t="str">
        <f>'Historical CF'!B13</f>
        <v>Prov. for doubtful debts, liq. damages &amp; disallowances (net)</v>
      </c>
      <c r="C136" s="271"/>
      <c r="D136" s="271">
        <f>'Historical CF'!F13</f>
        <v>0</v>
      </c>
      <c r="E136" s="271">
        <f>'Historical CF'!G13</f>
        <v>0</v>
      </c>
      <c r="F136" s="271">
        <f>'Historical CF'!H13</f>
        <v>37536</v>
      </c>
      <c r="G136" s="271">
        <f>'Historical CF'!I13</f>
        <v>83118</v>
      </c>
      <c r="H136" s="271">
        <f>'Historical CF'!J13</f>
        <v>0</v>
      </c>
    </row>
    <row r="137" spans="2:8" x14ac:dyDescent="0.3">
      <c r="B137" s="271" t="str">
        <f>'Historical CF'!B14</f>
        <v>Provision for doubtful advances, claims (net of withdrawal)</v>
      </c>
      <c r="C137" s="271"/>
      <c r="D137" s="271">
        <f>'Historical CF'!F14</f>
        <v>0</v>
      </c>
      <c r="E137" s="271">
        <f>'Historical CF'!G14</f>
        <v>0</v>
      </c>
      <c r="F137" s="271">
        <f>'Historical CF'!H14</f>
        <v>0</v>
      </c>
      <c r="G137" s="271">
        <f>'Historical CF'!I14</f>
        <v>1913</v>
      </c>
      <c r="H137" s="271">
        <f>'Historical CF'!J14</f>
        <v>0</v>
      </c>
    </row>
    <row r="138" spans="2:8" x14ac:dyDescent="0.3">
      <c r="B138" s="271" t="str">
        <f>'Historical CF'!B15</f>
        <v>Provision for performance warranty (net)</v>
      </c>
      <c r="C138" s="271"/>
      <c r="D138" s="271">
        <f>'Historical CF'!F15</f>
        <v>0</v>
      </c>
      <c r="E138" s="271">
        <f>'Historical CF'!G15</f>
        <v>0</v>
      </c>
      <c r="F138" s="271">
        <f>'Historical CF'!H15</f>
        <v>0</v>
      </c>
      <c r="G138" s="271">
        <f>'Historical CF'!I15</f>
        <v>16852</v>
      </c>
      <c r="H138" s="271">
        <f>'Historical CF'!J15</f>
        <v>0</v>
      </c>
    </row>
    <row r="139" spans="2:8" x14ac:dyDescent="0.3">
      <c r="B139" s="271" t="str">
        <f>'Historical CF'!B16</f>
        <v>Provision for onerous contract (net)</v>
      </c>
      <c r="C139" s="271"/>
      <c r="D139" s="271">
        <f>'Historical CF'!F16</f>
        <v>0</v>
      </c>
      <c r="E139" s="271">
        <f>'Historical CF'!G16</f>
        <v>0</v>
      </c>
      <c r="F139" s="271">
        <f>'Historical CF'!H16</f>
        <v>0</v>
      </c>
      <c r="G139" s="271">
        <f>'Historical CF'!I16</f>
        <v>3132</v>
      </c>
      <c r="H139" s="271">
        <f>'Historical CF'!J16</f>
        <v>0</v>
      </c>
    </row>
    <row r="140" spans="2:8" x14ac:dyDescent="0.3">
      <c r="B140" s="271" t="str">
        <f>'Historical CF'!B17</f>
        <v>Provision for obsolete/redundant materials (net)</v>
      </c>
      <c r="C140" s="271"/>
      <c r="D140" s="271">
        <f>'Historical CF'!F17</f>
        <v>0</v>
      </c>
      <c r="E140" s="271">
        <f>'Historical CF'!G17</f>
        <v>0</v>
      </c>
      <c r="F140" s="271">
        <f>'Historical CF'!H17</f>
        <v>0</v>
      </c>
      <c r="G140" s="271">
        <f>'Historical CF'!I17</f>
        <v>7235</v>
      </c>
      <c r="H140" s="271">
        <f>'Historical CF'!J17</f>
        <v>0</v>
      </c>
    </row>
    <row r="141" spans="2:8" x14ac:dyDescent="0.3">
      <c r="B141" s="271" t="str">
        <f>'Historical CF'!B18</f>
        <v>Corporate social responsibility</v>
      </c>
      <c r="C141" s="271"/>
      <c r="D141" s="271">
        <f>'Historical CF'!F18</f>
        <v>4711</v>
      </c>
      <c r="E141" s="271">
        <f>'Historical CF'!G18</f>
        <v>5348</v>
      </c>
      <c r="F141" s="271">
        <f>'Historical CF'!H18</f>
        <v>5770</v>
      </c>
      <c r="G141" s="271">
        <f>'Historical CF'!I18</f>
        <v>0</v>
      </c>
      <c r="H141" s="271">
        <f>'Historical CF'!J18</f>
        <v>0</v>
      </c>
    </row>
    <row r="142" spans="2:8" x14ac:dyDescent="0.3">
      <c r="B142" s="271" t="str">
        <f>'Historical CF'!B19</f>
        <v>Transfer from government grants</v>
      </c>
      <c r="C142" s="271"/>
      <c r="D142" s="271">
        <f>'Historical CF'!F19</f>
        <v>-1736</v>
      </c>
      <c r="E142" s="271">
        <f>'Historical CF'!G19</f>
        <v>-1713</v>
      </c>
      <c r="F142" s="271">
        <f>'Historical CF'!H19</f>
        <v>-1665</v>
      </c>
      <c r="G142" s="271">
        <f>'Historical CF'!I19</f>
        <v>-1657</v>
      </c>
      <c r="H142" s="271">
        <f>'Historical CF'!J19</f>
        <v>-1647</v>
      </c>
    </row>
    <row r="143" spans="2:8" x14ac:dyDescent="0.3">
      <c r="B143" s="271" t="str">
        <f>'Historical CF'!B20</f>
        <v>Interest income</v>
      </c>
      <c r="C143" s="271"/>
      <c r="D143" s="271">
        <f>'Historical CF'!F20</f>
        <v>-6050</v>
      </c>
      <c r="E143" s="271">
        <f>'Historical CF'!G20</f>
        <v>-17645</v>
      </c>
      <c r="F143" s="271">
        <f>'Historical CF'!H20</f>
        <v>-26088</v>
      </c>
      <c r="G143" s="271">
        <f>'Historical CF'!I20</f>
        <v>-57195</v>
      </c>
      <c r="H143" s="271">
        <f>'Historical CF'!J20</f>
        <v>-62234</v>
      </c>
    </row>
    <row r="144" spans="2:8" x14ac:dyDescent="0.3">
      <c r="B144" s="271" t="str">
        <f>'Historical CF'!B21</f>
        <v>Interest on lease liability</v>
      </c>
      <c r="C144" s="271"/>
      <c r="D144" s="271">
        <f>'Historical CF'!F21</f>
        <v>24</v>
      </c>
      <c r="E144" s="271">
        <f>'Historical CF'!G21</f>
        <v>306</v>
      </c>
      <c r="F144" s="271">
        <f>'Historical CF'!H21</f>
        <v>370</v>
      </c>
      <c r="G144" s="271">
        <f>'Historical CF'!I21</f>
        <v>421</v>
      </c>
      <c r="H144" s="271">
        <f>'Historical CF'!J21</f>
        <v>416</v>
      </c>
    </row>
    <row r="145" spans="2:8" x14ac:dyDescent="0.3">
      <c r="B145" s="271" t="str">
        <f>'Historical CF'!B22</f>
        <v>Finance costs</v>
      </c>
      <c r="C145" s="271"/>
      <c r="D145" s="271">
        <f>'Historical CF'!F22</f>
        <v>613</v>
      </c>
      <c r="E145" s="271">
        <f>'Historical CF'!G22</f>
        <v>199</v>
      </c>
      <c r="F145" s="271">
        <f>'Historical CF'!H22</f>
        <v>1125</v>
      </c>
      <c r="G145" s="271">
        <f>'Historical CF'!I22</f>
        <v>293</v>
      </c>
      <c r="H145" s="271">
        <f>'Historical CF'!J22</f>
        <v>552</v>
      </c>
    </row>
    <row r="146" spans="2:8" x14ac:dyDescent="0.3">
      <c r="B146" s="271" t="str">
        <f>'Historical CF'!B23</f>
        <v>Profit on sale of property, plant &amp; equipment</v>
      </c>
      <c r="C146" s="271"/>
      <c r="D146" s="271">
        <f>'Historical CF'!F23</f>
        <v>-121</v>
      </c>
      <c r="E146" s="271">
        <f>'Historical CF'!G23</f>
        <v>-45</v>
      </c>
      <c r="F146" s="271">
        <f>'Historical CF'!H23</f>
        <v>-152</v>
      </c>
      <c r="G146" s="271">
        <f>'Historical CF'!I23</f>
        <v>-702</v>
      </c>
      <c r="H146" s="271">
        <f>'Historical CF'!J23</f>
        <v>-255</v>
      </c>
    </row>
    <row r="147" spans="2:8" ht="15" thickBot="1" x14ac:dyDescent="0.35">
      <c r="B147" s="193" t="str">
        <f>'Historical CF'!B24</f>
        <v>Operating Profit Before Working Capital Changes</v>
      </c>
      <c r="C147" s="193"/>
      <c r="D147" s="193">
        <f>'Historical CF'!F24</f>
        <v>342149</v>
      </c>
      <c r="E147" s="193">
        <f>'Historical CF'!G24</f>
        <v>347763</v>
      </c>
      <c r="F147" s="193">
        <f>'Historical CF'!H24</f>
        <v>463332</v>
      </c>
      <c r="G147" s="193">
        <f>'Historical CF'!I24</f>
        <v>638232</v>
      </c>
      <c r="H147" s="193">
        <f>'Historical CF'!J24</f>
        <v>697152</v>
      </c>
    </row>
    <row r="148" spans="2:8" ht="15" thickTop="1" x14ac:dyDescent="0.3">
      <c r="B148" s="39"/>
    </row>
    <row r="149" spans="2:8" x14ac:dyDescent="0.3">
      <c r="B149" s="40" t="str">
        <f>'Historical CF'!B26</f>
        <v>Adjustments for :</v>
      </c>
    </row>
    <row r="150" spans="2:8" x14ac:dyDescent="0.3">
      <c r="B150" s="40" t="str">
        <f>'Historical CF'!B27</f>
        <v>Increase / (Decrease) due to</v>
      </c>
    </row>
    <row r="151" spans="2:8" x14ac:dyDescent="0.3">
      <c r="B151" s="271" t="str">
        <f>'Historical CF'!B28</f>
        <v>Trade receivables</v>
      </c>
      <c r="C151" s="271"/>
      <c r="D151" s="271">
        <f>'Historical CF'!F28</f>
        <v>16203</v>
      </c>
      <c r="E151" s="271">
        <f>'Historical CF'!G28</f>
        <v>45390</v>
      </c>
      <c r="F151" s="271">
        <f>'Historical CF'!H28</f>
        <v>-92539</v>
      </c>
      <c r="G151" s="271">
        <f>'Historical CF'!I28</f>
        <v>-119008</v>
      </c>
      <c r="H151" s="271">
        <f>'Historical CF'!J28</f>
        <v>-172399</v>
      </c>
    </row>
    <row r="152" spans="2:8" x14ac:dyDescent="0.3">
      <c r="B152" s="271" t="str">
        <f>'Historical CF'!B29</f>
        <v>Loans</v>
      </c>
      <c r="C152" s="271"/>
      <c r="D152" s="271">
        <f>'Historical CF'!F29</f>
        <v>4079</v>
      </c>
      <c r="E152" s="271">
        <f>'Historical CF'!G29</f>
        <v>12</v>
      </c>
      <c r="F152" s="271">
        <f>'Historical CF'!H29</f>
        <v>48</v>
      </c>
      <c r="G152" s="271">
        <f>'Historical CF'!I29</f>
        <v>-16</v>
      </c>
      <c r="H152" s="271">
        <f>'Historical CF'!J29</f>
        <v>34</v>
      </c>
    </row>
    <row r="153" spans="2:8" x14ac:dyDescent="0.3">
      <c r="B153" s="271" t="str">
        <f>'Historical CF'!B30</f>
        <v>Other financial assets</v>
      </c>
      <c r="C153" s="271"/>
      <c r="D153" s="271">
        <f>'Historical CF'!F30</f>
        <v>-2713</v>
      </c>
      <c r="E153" s="271">
        <f>'Historical CF'!G30</f>
        <v>-3456</v>
      </c>
      <c r="F153" s="271">
        <f>'Historical CF'!H30</f>
        <v>-9456</v>
      </c>
      <c r="G153" s="271">
        <f>'Historical CF'!I30</f>
        <v>4565</v>
      </c>
      <c r="H153" s="271">
        <f>'Historical CF'!J30</f>
        <v>278</v>
      </c>
    </row>
    <row r="154" spans="2:8" x14ac:dyDescent="0.3">
      <c r="B154" s="271" t="str">
        <f>'Historical CF'!B31</f>
        <v>Other assets</v>
      </c>
      <c r="C154" s="271"/>
      <c r="D154" s="271">
        <f>'Historical CF'!F31</f>
        <v>-90272</v>
      </c>
      <c r="E154" s="271">
        <f>'Historical CF'!G31</f>
        <v>-115459</v>
      </c>
      <c r="F154" s="271">
        <f>'Historical CF'!H31</f>
        <v>13784</v>
      </c>
      <c r="G154" s="271">
        <f>'Historical CF'!I31</f>
        <v>59255</v>
      </c>
      <c r="H154" s="271">
        <f>'Historical CF'!J31</f>
        <v>99836</v>
      </c>
    </row>
    <row r="155" spans="2:8" x14ac:dyDescent="0.3">
      <c r="B155" s="271" t="str">
        <f>'Historical CF'!B32</f>
        <v>Inventories</v>
      </c>
      <c r="C155" s="271"/>
      <c r="D155" s="271">
        <f>'Historical CF'!F32</f>
        <v>-99651</v>
      </c>
      <c r="E155" s="271">
        <f>'Historical CF'!G32</f>
        <v>-61188</v>
      </c>
      <c r="F155" s="271">
        <f>'Historical CF'!H32</f>
        <v>-83467</v>
      </c>
      <c r="G155" s="271">
        <f>'Historical CF'!I32</f>
        <v>-106533</v>
      </c>
      <c r="H155" s="271">
        <f>'Historical CF'!J32</f>
        <v>-167209</v>
      </c>
    </row>
    <row r="156" spans="2:8" x14ac:dyDescent="0.3">
      <c r="B156" s="271" t="str">
        <f>'Historical CF'!B33</f>
        <v>Trade payables</v>
      </c>
      <c r="C156" s="271"/>
      <c r="D156" s="271">
        <f>'Historical CF'!F33</f>
        <v>84886</v>
      </c>
      <c r="E156" s="271">
        <f>'Historical CF'!G33</f>
        <v>7045</v>
      </c>
      <c r="F156" s="271">
        <f>'Historical CF'!H33</f>
        <v>-3889</v>
      </c>
      <c r="G156" s="271">
        <f>'Historical CF'!I33</f>
        <v>37556</v>
      </c>
      <c r="H156" s="271">
        <f>'Historical CF'!J33</f>
        <v>-36754</v>
      </c>
    </row>
    <row r="157" spans="2:8" x14ac:dyDescent="0.3">
      <c r="B157" s="271" t="str">
        <f>'Historical CF'!B34</f>
        <v>Other financial liabilities</v>
      </c>
      <c r="C157" s="271"/>
      <c r="D157" s="271">
        <f>'Historical CF'!F34</f>
        <v>7891</v>
      </c>
      <c r="E157" s="271">
        <f>'Historical CF'!G34</f>
        <v>6093</v>
      </c>
      <c r="F157" s="271">
        <f>'Historical CF'!H34</f>
        <v>32025</v>
      </c>
      <c r="G157" s="271">
        <f>'Historical CF'!I34</f>
        <v>3351</v>
      </c>
      <c r="H157" s="271">
        <f>'Historical CF'!J34</f>
        <v>6496</v>
      </c>
    </row>
    <row r="158" spans="2:8" x14ac:dyDescent="0.3">
      <c r="B158" s="271" t="str">
        <f>'Historical CF'!B35</f>
        <v>Provisions</v>
      </c>
      <c r="C158" s="271"/>
      <c r="D158" s="271">
        <f>'Historical CF'!F35</f>
        <v>14650</v>
      </c>
      <c r="E158" s="271">
        <f>'Historical CF'!G35</f>
        <v>26755</v>
      </c>
      <c r="F158" s="271">
        <f>'Historical CF'!H35</f>
        <v>-97882</v>
      </c>
      <c r="G158" s="271">
        <f>'Historical CF'!I35</f>
        <v>-8694</v>
      </c>
      <c r="H158" s="271">
        <f>'Historical CF'!J35</f>
        <v>-1026</v>
      </c>
    </row>
    <row r="159" spans="2:8" x14ac:dyDescent="0.3">
      <c r="B159" s="271" t="str">
        <f>'Historical CF'!B36</f>
        <v>Other liabilities</v>
      </c>
      <c r="C159" s="271"/>
      <c r="D159" s="271">
        <f>'Historical CF'!F36</f>
        <v>297706</v>
      </c>
      <c r="E159" s="271">
        <f>'Historical CF'!G36</f>
        <v>260611</v>
      </c>
      <c r="F159" s="271">
        <f>'Historical CF'!H36</f>
        <v>48999</v>
      </c>
      <c r="G159" s="271">
        <f>'Historical CF'!I36</f>
        <v>99078</v>
      </c>
      <c r="H159" s="271">
        <f>'Historical CF'!J36</f>
        <v>-200282</v>
      </c>
    </row>
    <row r="160" spans="2:8" x14ac:dyDescent="0.3">
      <c r="B160" s="271" t="str">
        <f>'Historical CF'!B37</f>
        <v>Current tax assets</v>
      </c>
      <c r="C160" s="271"/>
      <c r="D160" s="271">
        <f>'Historical CF'!F37</f>
        <v>-12299</v>
      </c>
      <c r="E160" s="271">
        <f>'Historical CF'!G37</f>
        <v>-12415</v>
      </c>
      <c r="F160" s="271">
        <f>'Historical CF'!H37</f>
        <v>-15411</v>
      </c>
      <c r="G160" s="271">
        <f>'Historical CF'!I37</f>
        <v>0</v>
      </c>
      <c r="H160" s="271">
        <f>'Historical CF'!J37</f>
        <v>0</v>
      </c>
    </row>
    <row r="161" spans="1:8" x14ac:dyDescent="0.3">
      <c r="B161" s="271" t="str">
        <f>'Historical CF'!B38</f>
        <v>Cash Generated from Operations</v>
      </c>
      <c r="C161" s="271"/>
      <c r="D161" s="271">
        <f>'Historical CF'!F38</f>
        <v>562629</v>
      </c>
      <c r="E161" s="271">
        <f>'Historical CF'!G38</f>
        <v>501151</v>
      </c>
      <c r="F161" s="271">
        <f>'Historical CF'!H38</f>
        <v>255544</v>
      </c>
      <c r="G161" s="271">
        <f>'Historical CF'!I38</f>
        <v>607786</v>
      </c>
      <c r="H161" s="271">
        <f>'Historical CF'!J38</f>
        <v>226126</v>
      </c>
    </row>
    <row r="162" spans="1:8" x14ac:dyDescent="0.3">
      <c r="B162" s="271" t="str">
        <f>'Historical CF'!B39</f>
        <v>Income taxes paid (net)</v>
      </c>
      <c r="C162" s="271"/>
      <c r="D162" s="271">
        <f>'Historical CF'!F39</f>
        <v>-53307</v>
      </c>
      <c r="E162" s="271">
        <f>'Historical CF'!G39</f>
        <v>-80429</v>
      </c>
      <c r="F162" s="271">
        <f>'Historical CF'!H39</f>
        <v>-91322</v>
      </c>
      <c r="G162" s="271">
        <f>'Historical CF'!I39</f>
        <v>-141837</v>
      </c>
      <c r="H162" s="271">
        <f>'Historical CF'!J39</f>
        <v>-167464</v>
      </c>
    </row>
    <row r="163" spans="1:8" x14ac:dyDescent="0.3">
      <c r="B163" s="271" t="str">
        <f>'Historical CF'!B40</f>
        <v>Cash Flow Before Exceptional Items</v>
      </c>
      <c r="C163" s="271"/>
      <c r="D163" s="271">
        <f>'Historical CF'!F40</f>
        <v>509322</v>
      </c>
      <c r="E163" s="271">
        <f>'Historical CF'!G40</f>
        <v>420722</v>
      </c>
      <c r="F163" s="271">
        <f>'Historical CF'!H40</f>
        <v>164222</v>
      </c>
      <c r="G163" s="271">
        <f>'Historical CF'!I40</f>
        <v>465949</v>
      </c>
      <c r="H163" s="271">
        <f>'Historical CF'!J40</f>
        <v>58662</v>
      </c>
    </row>
    <row r="164" spans="1:8" x14ac:dyDescent="0.3">
      <c r="B164" s="271" t="str">
        <f>'Historical CF'!B41</f>
        <v>Exceptional items</v>
      </c>
      <c r="C164" s="271"/>
      <c r="D164" s="271">
        <f>'Historical CF'!F41</f>
        <v>0</v>
      </c>
      <c r="E164" s="271">
        <f>'Historical CF'!G41</f>
        <v>0</v>
      </c>
      <c r="F164" s="271">
        <f>'Historical CF'!H41</f>
        <v>0</v>
      </c>
      <c r="G164" s="271">
        <f>'Historical CF'!I41</f>
        <v>0</v>
      </c>
      <c r="H164" s="271">
        <f>'Historical CF'!J41</f>
        <v>0</v>
      </c>
    </row>
    <row r="165" spans="1:8" ht="15" thickBot="1" x14ac:dyDescent="0.35">
      <c r="B165" s="193" t="str">
        <f>'Historical CF'!B42</f>
        <v>Net Cash ( used in ) / generated from Operating Activities ( A )</v>
      </c>
      <c r="C165" s="193"/>
      <c r="D165" s="193">
        <f>'Historical CF'!F42</f>
        <v>509322</v>
      </c>
      <c r="E165" s="193">
        <f>'Historical CF'!G42</f>
        <v>420722</v>
      </c>
      <c r="F165" s="193">
        <f>'Historical CF'!H42</f>
        <v>164222</v>
      </c>
      <c r="G165" s="193">
        <f>'Historical CF'!I42</f>
        <v>465949</v>
      </c>
      <c r="H165" s="193">
        <f>'Historical CF'!J42</f>
        <v>58662</v>
      </c>
    </row>
    <row r="166" spans="1:8" ht="15" thickTop="1" x14ac:dyDescent="0.3">
      <c r="B166" s="39"/>
    </row>
    <row r="167" spans="1:8" x14ac:dyDescent="0.3">
      <c r="B167" s="41" t="str">
        <f>'Historical CF'!B44</f>
        <v>Cash flow from Investing Activities</v>
      </c>
      <c r="C167" s="48"/>
      <c r="D167" s="48"/>
      <c r="E167" s="48"/>
      <c r="F167" s="48"/>
      <c r="G167" s="48"/>
      <c r="H167" s="48"/>
    </row>
    <row r="168" spans="1:8" x14ac:dyDescent="0.3">
      <c r="B168" s="271" t="str">
        <f>'Historical CF'!B45</f>
        <v>Purchase of PPE and other intangible assets</v>
      </c>
      <c r="C168" s="271"/>
      <c r="D168" s="271">
        <f>'Historical CF'!F45</f>
        <v>-46925</v>
      </c>
      <c r="E168" s="271">
        <f>'Historical CF'!G45</f>
        <v>-55456</v>
      </c>
      <c r="F168" s="271">
        <f>'Historical CF'!H45</f>
        <v>-59045</v>
      </c>
      <c r="G168" s="271">
        <f>'Historical CF'!I45</f>
        <v>-65253</v>
      </c>
      <c r="H168" s="271">
        <f>'Historical CF'!J45</f>
        <v>-101128</v>
      </c>
    </row>
    <row r="169" spans="1:8" x14ac:dyDescent="0.3">
      <c r="B169" s="271" t="str">
        <f>'Historical CF'!B46</f>
        <v>Receipt / Less: Receipt of grant</v>
      </c>
      <c r="C169" s="271"/>
      <c r="D169" s="271">
        <f>'Historical CF'!F46</f>
        <v>0</v>
      </c>
      <c r="E169" s="271">
        <f>'Historical CF'!G46</f>
        <v>0</v>
      </c>
      <c r="F169" s="271">
        <f>'Historical CF'!H46</f>
        <v>228</v>
      </c>
      <c r="G169" s="271">
        <f>'Historical CF'!I46</f>
        <v>10</v>
      </c>
      <c r="H169" s="271">
        <f>'Historical CF'!J46</f>
        <v>7</v>
      </c>
    </row>
    <row r="170" spans="1:8" x14ac:dyDescent="0.3">
      <c r="B170" s="271" t="str">
        <f>'Historical CF'!B47</f>
        <v>Proceeds from sale of PPE</v>
      </c>
      <c r="C170" s="271"/>
      <c r="D170" s="271">
        <f>'Historical CF'!F47</f>
        <v>133</v>
      </c>
      <c r="E170" s="271">
        <f>'Historical CF'!G47</f>
        <v>740</v>
      </c>
      <c r="F170" s="271">
        <f>'Historical CF'!H47</f>
        <v>170</v>
      </c>
      <c r="G170" s="271">
        <f>'Historical CF'!I47</f>
        <v>853</v>
      </c>
      <c r="H170" s="271">
        <f>'Historical CF'!J47</f>
        <v>305</v>
      </c>
    </row>
    <row r="171" spans="1:8" x14ac:dyDescent="0.3">
      <c r="B171" s="271" t="str">
        <f>'Historical CF'!B48</f>
        <v>Increase/(Decrease) in term deposits &amp; other bank balances</v>
      </c>
      <c r="C171" s="271"/>
      <c r="D171" s="271">
        <f>'Historical CF'!F48</f>
        <v>-199223</v>
      </c>
      <c r="E171" s="271">
        <f>'Historical CF'!G48</f>
        <v>-423480</v>
      </c>
      <c r="F171" s="271">
        <f>'Historical CF'!H48</f>
        <v>209439</v>
      </c>
      <c r="G171" s="271">
        <f>'Historical CF'!I48</f>
        <v>-569004</v>
      </c>
      <c r="H171" s="271">
        <f>'Historical CF'!J48</f>
        <v>101249</v>
      </c>
    </row>
    <row r="172" spans="1:8" x14ac:dyDescent="0.3">
      <c r="B172" s="271" t="str">
        <f>'Historical CF'!B49</f>
        <v>Other investments</v>
      </c>
      <c r="C172" s="271"/>
      <c r="D172" s="271">
        <f>'Historical CF'!F49</f>
        <v>-19557</v>
      </c>
      <c r="E172" s="271">
        <f>'Historical CF'!G49</f>
        <v>-26615</v>
      </c>
      <c r="F172" s="271">
        <f>'Historical CF'!H49</f>
        <v>92204</v>
      </c>
      <c r="G172" s="271">
        <f>'Historical CF'!I49</f>
        <v>-3251</v>
      </c>
      <c r="H172" s="271">
        <f>'Historical CF'!J49</f>
        <v>-6083</v>
      </c>
    </row>
    <row r="173" spans="1:8" x14ac:dyDescent="0.3">
      <c r="B173" s="271" t="str">
        <f>'Historical CF'!B50</f>
        <v>Interest received</v>
      </c>
      <c r="C173" s="271"/>
      <c r="D173" s="271">
        <f>'Historical CF'!F50</f>
        <v>6050</v>
      </c>
      <c r="E173" s="271">
        <f>'Historical CF'!G50</f>
        <v>17645</v>
      </c>
      <c r="F173" s="271">
        <f>'Historical CF'!H50</f>
        <v>26088</v>
      </c>
      <c r="G173" s="271">
        <f>'Historical CF'!I50</f>
        <v>44260</v>
      </c>
      <c r="H173" s="271">
        <f>'Historical CF'!J50</f>
        <v>67344</v>
      </c>
    </row>
    <row r="174" spans="1:8" ht="15" thickBot="1" x14ac:dyDescent="0.35">
      <c r="B174" s="193" t="str">
        <f>'Historical CF'!B51</f>
        <v>Net Cash from / (used in) Investing Activities (B)</v>
      </c>
      <c r="C174" s="193"/>
      <c r="D174" s="193">
        <f>'Historical CF'!F51</f>
        <v>-259522</v>
      </c>
      <c r="E174" s="193">
        <f>'Historical CF'!G51</f>
        <v>-487166</v>
      </c>
      <c r="F174" s="193">
        <f>'Historical CF'!H51</f>
        <v>269084</v>
      </c>
      <c r="G174" s="193">
        <f>'Historical CF'!I51</f>
        <v>-592385</v>
      </c>
      <c r="H174" s="193">
        <f>'Historical CF'!J51</f>
        <v>61694</v>
      </c>
    </row>
    <row r="175" spans="1:8" ht="15" thickTop="1" x14ac:dyDescent="0.3">
      <c r="B175" s="39"/>
    </row>
    <row r="176" spans="1:8" x14ac:dyDescent="0.3">
      <c r="A176" s="48"/>
      <c r="B176" s="41" t="str">
        <f>'Historical CF'!B53</f>
        <v>Cash flow from Financing Activities</v>
      </c>
      <c r="C176" s="48"/>
      <c r="D176" s="48"/>
      <c r="E176" s="48"/>
      <c r="F176" s="48"/>
      <c r="G176" s="48"/>
      <c r="H176" s="48"/>
    </row>
    <row r="177" spans="2:8" x14ac:dyDescent="0.3">
      <c r="B177" s="271" t="str">
        <f>'Historical CF'!B54</f>
        <v>Proceeds/Repayment from borrowings (net)</v>
      </c>
      <c r="C177" s="271"/>
      <c r="D177" s="271">
        <f>'Historical CF'!F54</f>
        <v>-832</v>
      </c>
      <c r="E177" s="271">
        <f>'Historical CF'!G54</f>
        <v>0</v>
      </c>
      <c r="F177" s="271">
        <f>'Historical CF'!H54</f>
        <v>0</v>
      </c>
      <c r="G177" s="271">
        <f>'Historical CF'!I54</f>
        <v>0</v>
      </c>
      <c r="H177" s="271">
        <f>'Historical CF'!J54</f>
        <v>0</v>
      </c>
    </row>
    <row r="178" spans="2:8" x14ac:dyDescent="0.3">
      <c r="B178" s="271" t="str">
        <f>'Historical CF'!B55</f>
        <v>Corporate Social Responsibility (CSR) expenditure</v>
      </c>
      <c r="C178" s="271"/>
      <c r="D178" s="271">
        <f>'Historical CF'!F55</f>
        <v>-3670</v>
      </c>
      <c r="E178" s="271">
        <f>'Historical CF'!G55</f>
        <v>-4757</v>
      </c>
      <c r="F178" s="271">
        <f>'Historical CF'!H55</f>
        <v>0</v>
      </c>
      <c r="G178" s="271">
        <f>'Historical CF'!I55</f>
        <v>0</v>
      </c>
      <c r="H178" s="271">
        <f>'Historical CF'!J55</f>
        <v>0</v>
      </c>
    </row>
    <row r="179" spans="2:8" x14ac:dyDescent="0.3">
      <c r="B179" s="271" t="str">
        <f>'Historical CF'!B56</f>
        <v>Dividend paid (including tax on dividend)</v>
      </c>
      <c r="C179" s="271"/>
      <c r="D179" s="271">
        <f>'Historical CF'!F56</f>
        <v>-102274</v>
      </c>
      <c r="E179" s="271">
        <f>'Historical CF'!G56</f>
        <v>-102331</v>
      </c>
      <c r="F179" s="271">
        <f>'Historical CF'!H56</f>
        <v>-124280</v>
      </c>
      <c r="G179" s="271">
        <f>'Historical CF'!I56</f>
        <v>-146209</v>
      </c>
      <c r="H179" s="271">
        <f>'Historical CF'!J56</f>
        <v>-168078</v>
      </c>
    </row>
    <row r="180" spans="2:8" x14ac:dyDescent="0.3">
      <c r="B180" s="271" t="str">
        <f>'Historical CF'!B57</f>
        <v>Repayment of lease liabilities</v>
      </c>
      <c r="C180" s="271"/>
      <c r="D180" s="271">
        <f>'Historical CF'!F57</f>
        <v>-159</v>
      </c>
      <c r="E180" s="271">
        <f>'Historical CF'!G57</f>
        <v>-167</v>
      </c>
      <c r="F180" s="271">
        <f>'Historical CF'!H57</f>
        <v>-433</v>
      </c>
      <c r="G180" s="271">
        <f>'Historical CF'!I57</f>
        <v>-578</v>
      </c>
      <c r="H180" s="271">
        <f>'Historical CF'!J57</f>
        <v>-597</v>
      </c>
    </row>
    <row r="181" spans="2:8" x14ac:dyDescent="0.3">
      <c r="B181" s="271" t="str">
        <f>'Historical CF'!B58</f>
        <v>Interest on lease liability</v>
      </c>
      <c r="C181" s="271"/>
      <c r="D181" s="271">
        <f>'Historical CF'!F58</f>
        <v>-24</v>
      </c>
      <c r="E181" s="271">
        <f>'Historical CF'!G58</f>
        <v>-306</v>
      </c>
      <c r="F181" s="271">
        <f>'Historical CF'!H58</f>
        <v>-370</v>
      </c>
      <c r="G181" s="271">
        <f>'Historical CF'!I58</f>
        <v>-421</v>
      </c>
      <c r="H181" s="271">
        <f>'Historical CF'!J58</f>
        <v>-416</v>
      </c>
    </row>
    <row r="182" spans="2:8" x14ac:dyDescent="0.3">
      <c r="B182" s="271" t="str">
        <f>'Historical CF'!B59</f>
        <v>Finance costs</v>
      </c>
      <c r="C182" s="271"/>
      <c r="D182" s="271">
        <f>'Historical CF'!F59</f>
        <v>-613</v>
      </c>
      <c r="E182" s="271">
        <f>'Historical CF'!G59</f>
        <v>-199</v>
      </c>
      <c r="F182" s="271">
        <f>'Historical CF'!H59</f>
        <v>-1125</v>
      </c>
      <c r="G182" s="271">
        <f>'Historical CF'!I59</f>
        <v>-293</v>
      </c>
      <c r="H182" s="271">
        <f>'Historical CF'!J59</f>
        <v>-552</v>
      </c>
    </row>
    <row r="183" spans="2:8" ht="15" thickBot="1" x14ac:dyDescent="0.35">
      <c r="B183" s="193" t="str">
        <f>'Historical CF'!B60</f>
        <v>Net Cash ( used in ) / generated from Financing Activities ( C )</v>
      </c>
      <c r="C183" s="193"/>
      <c r="D183" s="193">
        <f>'Historical CF'!F60</f>
        <v>-107572</v>
      </c>
      <c r="E183" s="193">
        <f>'Historical CF'!G60</f>
        <v>-107760</v>
      </c>
      <c r="F183" s="193">
        <f>'Historical CF'!H60</f>
        <v>-126208</v>
      </c>
      <c r="G183" s="193">
        <f>'Historical CF'!I60</f>
        <v>-147501</v>
      </c>
      <c r="H183" s="193">
        <f>'Historical CF'!J60</f>
        <v>-169643</v>
      </c>
    </row>
    <row r="184" spans="2:8" ht="15" thickTop="1" x14ac:dyDescent="0.3">
      <c r="B184" s="39"/>
    </row>
    <row r="185" spans="2:8" ht="28.8" x14ac:dyDescent="0.3">
      <c r="B185" s="199" t="str">
        <f>'Historical CF'!B62</f>
        <v>Net increase / ( decrease ) in Cash and Cash Equivalents ( A + B + C )</v>
      </c>
      <c r="C185" s="48"/>
      <c r="D185" s="48">
        <f>'Historical CF'!F62</f>
        <v>142228</v>
      </c>
      <c r="E185" s="48">
        <f>'Historical CF'!G62</f>
        <v>-174204</v>
      </c>
      <c r="F185" s="48">
        <f>'Historical CF'!H62</f>
        <v>307098</v>
      </c>
      <c r="G185" s="48">
        <f>'Historical CF'!I62</f>
        <v>-273937</v>
      </c>
      <c r="H185" s="48">
        <f>'Historical CF'!J62</f>
        <v>-49287</v>
      </c>
    </row>
    <row r="186" spans="2:8" x14ac:dyDescent="0.3">
      <c r="B186" s="271" t="str">
        <f>'Historical CF'!B63</f>
        <v xml:space="preserve">Add : Cash and Cash Equivalents at the beginning of the year </v>
      </c>
      <c r="C186" s="271"/>
      <c r="D186" s="271">
        <f>'Historical CF'!F63</f>
        <v>162063</v>
      </c>
      <c r="E186" s="271">
        <f>'Historical CF'!G63</f>
        <v>304290</v>
      </c>
      <c r="F186" s="271">
        <f>'Historical CF'!H63</f>
        <v>130086</v>
      </c>
      <c r="G186" s="271">
        <f>'Historical CF'!I63</f>
        <v>394569</v>
      </c>
      <c r="H186" s="271">
        <f>'Historical CF'!J63</f>
        <v>120632</v>
      </c>
    </row>
    <row r="187" spans="2:8" x14ac:dyDescent="0.3">
      <c r="B187" s="271" t="str">
        <f>'Historical CF'!B64</f>
        <v xml:space="preserve">Cash and Cash Equivalents at the end of the year </v>
      </c>
      <c r="C187" s="271"/>
      <c r="D187" s="271">
        <f>'Historical CF'!F64</f>
        <v>304291</v>
      </c>
      <c r="E187" s="271">
        <f>'Historical CF'!G64</f>
        <v>130086</v>
      </c>
      <c r="F187" s="271">
        <f>'Historical CF'!H64</f>
        <v>437184</v>
      </c>
      <c r="G187" s="271">
        <f>'Historical CF'!I64</f>
        <v>120632</v>
      </c>
      <c r="H187" s="271">
        <f>'Historical CF'!J64</f>
        <v>71345</v>
      </c>
    </row>
    <row r="188" spans="2:8" x14ac:dyDescent="0.3">
      <c r="B188" s="271"/>
      <c r="C188" s="271"/>
      <c r="D188" s="271"/>
      <c r="E188" s="271"/>
      <c r="F188" s="271"/>
      <c r="G188" s="271"/>
      <c r="H188" s="271"/>
    </row>
    <row r="189" spans="2:8" x14ac:dyDescent="0.3">
      <c r="B189" s="39"/>
    </row>
    <row r="190" spans="2:8" x14ac:dyDescent="0.3">
      <c r="B190" s="39"/>
    </row>
    <row r="191" spans="2:8" x14ac:dyDescent="0.3">
      <c r="B191" s="39"/>
    </row>
    <row r="192" spans="2:8" x14ac:dyDescent="0.3">
      <c r="B192" s="39"/>
    </row>
    <row r="193" spans="2:2" x14ac:dyDescent="0.3">
      <c r="B193" s="39"/>
    </row>
    <row r="194" spans="2:2" x14ac:dyDescent="0.3">
      <c r="B194" s="39"/>
    </row>
    <row r="195" spans="2:2" x14ac:dyDescent="0.3">
      <c r="B195" s="39"/>
    </row>
    <row r="196" spans="2:2" x14ac:dyDescent="0.3">
      <c r="B196" s="39"/>
    </row>
    <row r="197" spans="2:2" x14ac:dyDescent="0.3">
      <c r="B197" s="39"/>
    </row>
    <row r="198" spans="2:2" x14ac:dyDescent="0.3">
      <c r="B198" s="39"/>
    </row>
    <row r="199" spans="2:2" x14ac:dyDescent="0.3">
      <c r="B199" s="39"/>
    </row>
    <row r="200" spans="2:2" x14ac:dyDescent="0.3">
      <c r="B200" s="39"/>
    </row>
    <row r="201" spans="2:2" x14ac:dyDescent="0.3">
      <c r="B201" s="39"/>
    </row>
    <row r="202" spans="2:2" x14ac:dyDescent="0.3">
      <c r="B202" s="39"/>
    </row>
    <row r="203" spans="2:2" x14ac:dyDescent="0.3">
      <c r="B203" s="39"/>
    </row>
    <row r="204" spans="2:2" x14ac:dyDescent="0.3">
      <c r="B204" s="39"/>
    </row>
    <row r="205" spans="2:2" x14ac:dyDescent="0.3">
      <c r="B205" s="39"/>
    </row>
    <row r="206" spans="2:2" x14ac:dyDescent="0.3">
      <c r="B206" s="39"/>
    </row>
    <row r="207" spans="2:2" x14ac:dyDescent="0.3">
      <c r="B207" s="39"/>
    </row>
    <row r="208" spans="2:2" x14ac:dyDescent="0.3">
      <c r="B208" s="39"/>
    </row>
    <row r="209" spans="2:2" x14ac:dyDescent="0.3">
      <c r="B209" s="39"/>
    </row>
    <row r="210" spans="2:2" x14ac:dyDescent="0.3">
      <c r="B210" s="39"/>
    </row>
    <row r="211" spans="2:2" x14ac:dyDescent="0.3">
      <c r="B211" s="39"/>
    </row>
    <row r="212" spans="2:2" x14ac:dyDescent="0.3">
      <c r="B212" s="39"/>
    </row>
    <row r="213" spans="2:2" x14ac:dyDescent="0.3">
      <c r="B213" s="39"/>
    </row>
    <row r="214" spans="2:2" x14ac:dyDescent="0.3">
      <c r="B214" s="39"/>
    </row>
    <row r="215" spans="2:2" x14ac:dyDescent="0.3">
      <c r="B215" s="39"/>
    </row>
    <row r="216" spans="2:2" x14ac:dyDescent="0.3">
      <c r="B216" s="39"/>
    </row>
    <row r="217" spans="2:2" x14ac:dyDescent="0.3">
      <c r="B217" s="39"/>
    </row>
    <row r="218" spans="2:2" x14ac:dyDescent="0.3">
      <c r="B218" s="39"/>
    </row>
    <row r="219" spans="2:2" x14ac:dyDescent="0.3">
      <c r="B219" s="39"/>
    </row>
    <row r="220" spans="2:2" x14ac:dyDescent="0.3">
      <c r="B220" s="39"/>
    </row>
    <row r="221" spans="2:2" x14ac:dyDescent="0.3">
      <c r="B221" s="39"/>
    </row>
    <row r="222" spans="2:2" x14ac:dyDescent="0.3">
      <c r="B222" s="39"/>
    </row>
    <row r="223" spans="2:2" x14ac:dyDescent="0.3">
      <c r="B223" s="39"/>
    </row>
    <row r="224" spans="2:2" x14ac:dyDescent="0.3">
      <c r="B224" s="39"/>
    </row>
    <row r="225" spans="2:2" x14ac:dyDescent="0.3">
      <c r="B225" s="39"/>
    </row>
    <row r="226" spans="2:2" x14ac:dyDescent="0.3">
      <c r="B226" s="39"/>
    </row>
    <row r="227" spans="2:2" x14ac:dyDescent="0.3">
      <c r="B227" s="39"/>
    </row>
    <row r="228" spans="2:2" x14ac:dyDescent="0.3">
      <c r="B228" s="39"/>
    </row>
    <row r="229" spans="2:2" x14ac:dyDescent="0.3">
      <c r="B229" s="39"/>
    </row>
    <row r="230" spans="2:2" x14ac:dyDescent="0.3">
      <c r="B230" s="39"/>
    </row>
    <row r="231" spans="2:2" x14ac:dyDescent="0.3">
      <c r="B231" s="39"/>
    </row>
    <row r="232" spans="2:2" x14ac:dyDescent="0.3">
      <c r="B232" s="39"/>
    </row>
    <row r="233" spans="2:2" x14ac:dyDescent="0.3">
      <c r="B233" s="39"/>
    </row>
    <row r="234" spans="2:2" x14ac:dyDescent="0.3">
      <c r="B234" s="39"/>
    </row>
    <row r="235" spans="2:2" x14ac:dyDescent="0.3">
      <c r="B235" s="39"/>
    </row>
    <row r="236" spans="2:2" x14ac:dyDescent="0.3">
      <c r="B236" s="39"/>
    </row>
    <row r="237" spans="2:2" x14ac:dyDescent="0.3">
      <c r="B237" s="39"/>
    </row>
    <row r="238" spans="2:2" x14ac:dyDescent="0.3">
      <c r="B238" s="39"/>
    </row>
    <row r="239" spans="2:2" x14ac:dyDescent="0.3">
      <c r="B239" s="39"/>
    </row>
    <row r="240" spans="2:2" x14ac:dyDescent="0.3">
      <c r="B240" s="39"/>
    </row>
    <row r="241" spans="2:2" x14ac:dyDescent="0.3">
      <c r="B241" s="39"/>
    </row>
    <row r="242" spans="2:2" x14ac:dyDescent="0.3">
      <c r="B242" s="39"/>
    </row>
    <row r="243" spans="2:2" x14ac:dyDescent="0.3">
      <c r="B243" s="39"/>
    </row>
    <row r="244" spans="2:2" x14ac:dyDescent="0.3">
      <c r="B244" s="39"/>
    </row>
    <row r="245" spans="2:2" x14ac:dyDescent="0.3">
      <c r="B245" s="39"/>
    </row>
    <row r="246" spans="2:2" x14ac:dyDescent="0.3">
      <c r="B246" s="39"/>
    </row>
    <row r="247" spans="2:2" x14ac:dyDescent="0.3">
      <c r="B247" s="39"/>
    </row>
    <row r="248" spans="2:2" x14ac:dyDescent="0.3">
      <c r="B248" s="39"/>
    </row>
    <row r="249" spans="2:2" x14ac:dyDescent="0.3">
      <c r="B249" s="39"/>
    </row>
    <row r="250" spans="2:2" x14ac:dyDescent="0.3">
      <c r="B250" s="39"/>
    </row>
    <row r="251" spans="2:2" x14ac:dyDescent="0.3">
      <c r="B251" s="39"/>
    </row>
    <row r="252" spans="2:2" x14ac:dyDescent="0.3">
      <c r="B252" s="39"/>
    </row>
    <row r="253" spans="2:2" x14ac:dyDescent="0.3">
      <c r="B253" s="39"/>
    </row>
    <row r="254" spans="2:2" x14ac:dyDescent="0.3">
      <c r="B254" s="39"/>
    </row>
    <row r="255" spans="2:2" x14ac:dyDescent="0.3">
      <c r="B255" s="39"/>
    </row>
    <row r="256" spans="2:2" x14ac:dyDescent="0.3">
      <c r="B256" s="39"/>
    </row>
    <row r="257" spans="2:2" x14ac:dyDescent="0.3">
      <c r="B257" s="39"/>
    </row>
    <row r="258" spans="2:2" x14ac:dyDescent="0.3">
      <c r="B258" s="39"/>
    </row>
    <row r="259" spans="2:2" x14ac:dyDescent="0.3">
      <c r="B259" s="39"/>
    </row>
    <row r="260" spans="2:2" x14ac:dyDescent="0.3">
      <c r="B260" s="39"/>
    </row>
    <row r="261" spans="2:2" x14ac:dyDescent="0.3">
      <c r="B261" s="39"/>
    </row>
    <row r="262" spans="2:2" x14ac:dyDescent="0.3">
      <c r="B262" s="39"/>
    </row>
    <row r="263" spans="2:2" x14ac:dyDescent="0.3">
      <c r="B263" s="39"/>
    </row>
    <row r="264" spans="2:2" x14ac:dyDescent="0.3">
      <c r="B264" s="39"/>
    </row>
    <row r="265" spans="2:2" x14ac:dyDescent="0.3">
      <c r="B265" s="39"/>
    </row>
    <row r="266" spans="2:2" x14ac:dyDescent="0.3">
      <c r="B266" s="39"/>
    </row>
    <row r="267" spans="2:2" x14ac:dyDescent="0.3">
      <c r="B267" s="39"/>
    </row>
    <row r="268" spans="2:2" x14ac:dyDescent="0.3">
      <c r="B268" s="39"/>
    </row>
    <row r="269" spans="2:2" x14ac:dyDescent="0.3">
      <c r="B269" s="39"/>
    </row>
    <row r="270" spans="2:2" x14ac:dyDescent="0.3">
      <c r="B270" s="39"/>
    </row>
    <row r="271" spans="2:2" x14ac:dyDescent="0.3">
      <c r="B271" s="39"/>
    </row>
    <row r="272" spans="2:2" x14ac:dyDescent="0.3">
      <c r="B272" s="39"/>
    </row>
    <row r="273" spans="2:2" x14ac:dyDescent="0.3">
      <c r="B273" s="39"/>
    </row>
    <row r="274" spans="2:2" x14ac:dyDescent="0.3">
      <c r="B274" s="39"/>
    </row>
    <row r="275" spans="2:2" x14ac:dyDescent="0.3">
      <c r="B275" s="39"/>
    </row>
    <row r="276" spans="2:2" x14ac:dyDescent="0.3">
      <c r="B276" s="39"/>
    </row>
    <row r="277" spans="2:2" x14ac:dyDescent="0.3">
      <c r="B277" s="39"/>
    </row>
    <row r="278" spans="2:2" x14ac:dyDescent="0.3">
      <c r="B278" s="39"/>
    </row>
    <row r="279" spans="2:2" x14ac:dyDescent="0.3">
      <c r="B279" s="39"/>
    </row>
    <row r="280" spans="2:2" x14ac:dyDescent="0.3">
      <c r="B280" s="39"/>
    </row>
    <row r="281" spans="2:2" x14ac:dyDescent="0.3">
      <c r="B281" s="39"/>
    </row>
    <row r="282" spans="2:2" x14ac:dyDescent="0.3">
      <c r="B282" s="39"/>
    </row>
    <row r="283" spans="2:2" x14ac:dyDescent="0.3">
      <c r="B283" s="39"/>
    </row>
    <row r="284" spans="2:2" x14ac:dyDescent="0.3">
      <c r="B284" s="39"/>
    </row>
    <row r="285" spans="2:2" x14ac:dyDescent="0.3">
      <c r="B285" s="39"/>
    </row>
    <row r="286" spans="2:2" x14ac:dyDescent="0.3">
      <c r="B286" s="39"/>
    </row>
    <row r="287" spans="2:2" x14ac:dyDescent="0.3">
      <c r="B287" s="39"/>
    </row>
    <row r="288" spans="2:2" x14ac:dyDescent="0.3">
      <c r="B288" s="39"/>
    </row>
    <row r="289" spans="2:2" x14ac:dyDescent="0.3">
      <c r="B289" s="39"/>
    </row>
    <row r="290" spans="2:2" x14ac:dyDescent="0.3">
      <c r="B290" s="39"/>
    </row>
    <row r="291" spans="2:2" x14ac:dyDescent="0.3">
      <c r="B291" s="39"/>
    </row>
    <row r="292" spans="2:2" x14ac:dyDescent="0.3">
      <c r="B292" s="39"/>
    </row>
    <row r="293" spans="2:2" x14ac:dyDescent="0.3">
      <c r="B293" s="39"/>
    </row>
    <row r="294" spans="2:2" x14ac:dyDescent="0.3">
      <c r="B294" s="39"/>
    </row>
    <row r="295" spans="2:2" x14ac:dyDescent="0.3">
      <c r="B295" s="39"/>
    </row>
    <row r="296" spans="2:2" x14ac:dyDescent="0.3">
      <c r="B296" s="39"/>
    </row>
    <row r="297" spans="2:2" x14ac:dyDescent="0.3">
      <c r="B297" s="39"/>
    </row>
    <row r="298" spans="2:2" x14ac:dyDescent="0.3">
      <c r="B298" s="39"/>
    </row>
    <row r="299" spans="2:2" x14ac:dyDescent="0.3">
      <c r="B299" s="39"/>
    </row>
    <row r="300" spans="2:2" x14ac:dyDescent="0.3">
      <c r="B300" s="39"/>
    </row>
    <row r="301" spans="2:2" x14ac:dyDescent="0.3">
      <c r="B301" s="39"/>
    </row>
    <row r="302" spans="2:2" x14ac:dyDescent="0.3">
      <c r="B302" s="39"/>
    </row>
    <row r="303" spans="2:2" x14ac:dyDescent="0.3">
      <c r="B303" s="39"/>
    </row>
    <row r="304" spans="2:2" x14ac:dyDescent="0.3">
      <c r="B304" s="39"/>
    </row>
    <row r="305" spans="2:2" x14ac:dyDescent="0.3">
      <c r="B305" s="39"/>
    </row>
    <row r="306" spans="2:2" x14ac:dyDescent="0.3">
      <c r="B306" s="39"/>
    </row>
    <row r="307" spans="2:2" x14ac:dyDescent="0.3">
      <c r="B307" s="39"/>
    </row>
    <row r="308" spans="2:2" x14ac:dyDescent="0.3">
      <c r="B308" s="39"/>
    </row>
    <row r="309" spans="2:2" x14ac:dyDescent="0.3">
      <c r="B309" s="39"/>
    </row>
    <row r="310" spans="2:2" x14ac:dyDescent="0.3">
      <c r="B310" s="39"/>
    </row>
    <row r="311" spans="2:2" x14ac:dyDescent="0.3">
      <c r="B311" s="39"/>
    </row>
    <row r="312" spans="2:2" x14ac:dyDescent="0.3">
      <c r="B312" s="39"/>
    </row>
    <row r="313" spans="2:2" x14ac:dyDescent="0.3">
      <c r="B313" s="39"/>
    </row>
    <row r="314" spans="2:2" x14ac:dyDescent="0.3">
      <c r="B314" s="39"/>
    </row>
    <row r="315" spans="2:2" x14ac:dyDescent="0.3">
      <c r="B315" s="39"/>
    </row>
    <row r="316" spans="2:2" x14ac:dyDescent="0.3">
      <c r="B316" s="39"/>
    </row>
    <row r="317" spans="2:2" x14ac:dyDescent="0.3">
      <c r="B317" s="39"/>
    </row>
    <row r="318" spans="2:2" x14ac:dyDescent="0.3">
      <c r="B318" s="39"/>
    </row>
    <row r="319" spans="2:2" x14ac:dyDescent="0.3">
      <c r="B319" s="39"/>
    </row>
    <row r="320" spans="2:2" x14ac:dyDescent="0.3">
      <c r="B320" s="39"/>
    </row>
    <row r="321" spans="2:2" x14ac:dyDescent="0.3">
      <c r="B321" s="39"/>
    </row>
    <row r="322" spans="2:2" x14ac:dyDescent="0.3">
      <c r="B322" s="39"/>
    </row>
    <row r="323" spans="2:2" x14ac:dyDescent="0.3">
      <c r="B323" s="39"/>
    </row>
    <row r="324" spans="2:2" x14ac:dyDescent="0.3">
      <c r="B324" s="39"/>
    </row>
    <row r="325" spans="2:2" x14ac:dyDescent="0.3">
      <c r="B325" s="39"/>
    </row>
    <row r="326" spans="2:2" x14ac:dyDescent="0.3">
      <c r="B326" s="39"/>
    </row>
    <row r="327" spans="2:2" x14ac:dyDescent="0.3">
      <c r="B327" s="39"/>
    </row>
    <row r="328" spans="2:2" x14ac:dyDescent="0.3">
      <c r="B328" s="39"/>
    </row>
    <row r="329" spans="2:2" x14ac:dyDescent="0.3">
      <c r="B329" s="39"/>
    </row>
    <row r="330" spans="2:2" x14ac:dyDescent="0.3">
      <c r="B330" s="39"/>
    </row>
    <row r="331" spans="2:2" x14ac:dyDescent="0.3">
      <c r="B331" s="39"/>
    </row>
    <row r="332" spans="2:2" x14ac:dyDescent="0.3">
      <c r="B332" s="39"/>
    </row>
    <row r="333" spans="2:2" x14ac:dyDescent="0.3">
      <c r="B333" s="39"/>
    </row>
    <row r="334" spans="2:2" x14ac:dyDescent="0.3">
      <c r="B334" s="39"/>
    </row>
    <row r="335" spans="2:2" x14ac:dyDescent="0.3">
      <c r="B335" s="39"/>
    </row>
    <row r="336" spans="2:2" x14ac:dyDescent="0.3">
      <c r="B336" s="39"/>
    </row>
    <row r="337" spans="2:2" x14ac:dyDescent="0.3">
      <c r="B337" s="39"/>
    </row>
    <row r="338" spans="2:2" x14ac:dyDescent="0.3">
      <c r="B338" s="39"/>
    </row>
    <row r="339" spans="2:2" x14ac:dyDescent="0.3">
      <c r="B339" s="39"/>
    </row>
    <row r="340" spans="2:2" x14ac:dyDescent="0.3">
      <c r="B340" s="39"/>
    </row>
    <row r="341" spans="2:2" x14ac:dyDescent="0.3">
      <c r="B341" s="39"/>
    </row>
    <row r="342" spans="2:2" x14ac:dyDescent="0.3">
      <c r="B342" s="39"/>
    </row>
    <row r="343" spans="2:2" x14ac:dyDescent="0.3">
      <c r="B343" s="39"/>
    </row>
    <row r="344" spans="2:2" x14ac:dyDescent="0.3">
      <c r="B344" s="39"/>
    </row>
    <row r="345" spans="2:2" x14ac:dyDescent="0.3">
      <c r="B345" s="39"/>
    </row>
    <row r="346" spans="2:2" x14ac:dyDescent="0.3">
      <c r="B346" s="39"/>
    </row>
    <row r="347" spans="2:2" x14ac:dyDescent="0.3">
      <c r="B347" s="39"/>
    </row>
    <row r="348" spans="2:2" x14ac:dyDescent="0.3">
      <c r="B348" s="39"/>
    </row>
    <row r="349" spans="2:2" x14ac:dyDescent="0.3">
      <c r="B349" s="39"/>
    </row>
    <row r="350" spans="2:2" x14ac:dyDescent="0.3">
      <c r="B350" s="39"/>
    </row>
    <row r="351" spans="2:2" x14ac:dyDescent="0.3">
      <c r="B351" s="39"/>
    </row>
    <row r="352" spans="2:2" x14ac:dyDescent="0.3">
      <c r="B352" s="39"/>
    </row>
    <row r="353" spans="2:2" x14ac:dyDescent="0.3">
      <c r="B353" s="39"/>
    </row>
    <row r="354" spans="2:2" x14ac:dyDescent="0.3">
      <c r="B354" s="39"/>
    </row>
    <row r="355" spans="2:2" x14ac:dyDescent="0.3">
      <c r="B355" s="39"/>
    </row>
    <row r="356" spans="2:2" x14ac:dyDescent="0.3">
      <c r="B356" s="39"/>
    </row>
    <row r="357" spans="2:2" x14ac:dyDescent="0.3">
      <c r="B357" s="39"/>
    </row>
    <row r="358" spans="2:2" x14ac:dyDescent="0.3">
      <c r="B358" s="39"/>
    </row>
    <row r="359" spans="2:2" x14ac:dyDescent="0.3">
      <c r="B359" s="39"/>
    </row>
    <row r="360" spans="2:2" x14ac:dyDescent="0.3">
      <c r="B360" s="39"/>
    </row>
    <row r="361" spans="2:2" x14ac:dyDescent="0.3">
      <c r="B361" s="39"/>
    </row>
    <row r="362" spans="2:2" x14ac:dyDescent="0.3">
      <c r="B362" s="39"/>
    </row>
    <row r="363" spans="2:2" x14ac:dyDescent="0.3">
      <c r="B363" s="39"/>
    </row>
    <row r="364" spans="2:2" x14ac:dyDescent="0.3">
      <c r="B364" s="39"/>
    </row>
    <row r="365" spans="2:2" x14ac:dyDescent="0.3">
      <c r="B365" s="39"/>
    </row>
    <row r="366" spans="2:2" x14ac:dyDescent="0.3">
      <c r="B366" s="39"/>
    </row>
    <row r="367" spans="2:2" x14ac:dyDescent="0.3">
      <c r="B367" s="39"/>
    </row>
    <row r="368" spans="2:2" x14ac:dyDescent="0.3">
      <c r="B368" s="39"/>
    </row>
    <row r="369" spans="2:2" x14ac:dyDescent="0.3">
      <c r="B369" s="39"/>
    </row>
    <row r="370" spans="2:2" x14ac:dyDescent="0.3">
      <c r="B370" s="39"/>
    </row>
    <row r="371" spans="2:2" x14ac:dyDescent="0.3">
      <c r="B371" s="39"/>
    </row>
    <row r="372" spans="2:2" x14ac:dyDescent="0.3">
      <c r="B372" s="39"/>
    </row>
    <row r="373" spans="2:2" x14ac:dyDescent="0.3">
      <c r="B373" s="39"/>
    </row>
    <row r="374" spans="2:2" x14ac:dyDescent="0.3">
      <c r="B374" s="39"/>
    </row>
    <row r="375" spans="2:2" x14ac:dyDescent="0.3">
      <c r="B375" s="39"/>
    </row>
    <row r="376" spans="2:2" x14ac:dyDescent="0.3">
      <c r="B376" s="39"/>
    </row>
    <row r="377" spans="2:2" x14ac:dyDescent="0.3">
      <c r="B377" s="39"/>
    </row>
    <row r="378" spans="2:2" x14ac:dyDescent="0.3">
      <c r="B378" s="39"/>
    </row>
    <row r="379" spans="2:2" x14ac:dyDescent="0.3">
      <c r="B379" s="39"/>
    </row>
    <row r="380" spans="2:2" x14ac:dyDescent="0.3">
      <c r="B380" s="39"/>
    </row>
    <row r="381" spans="2:2" x14ac:dyDescent="0.3">
      <c r="B381" s="39"/>
    </row>
    <row r="382" spans="2:2" x14ac:dyDescent="0.3">
      <c r="B382" s="39"/>
    </row>
    <row r="383" spans="2:2" x14ac:dyDescent="0.3">
      <c r="B383" s="39"/>
    </row>
    <row r="384" spans="2:2" x14ac:dyDescent="0.3">
      <c r="B384" s="39"/>
    </row>
    <row r="385" spans="2:2" x14ac:dyDescent="0.3">
      <c r="B385" s="39"/>
    </row>
    <row r="386" spans="2:2" x14ac:dyDescent="0.3">
      <c r="B386" s="39"/>
    </row>
    <row r="387" spans="2:2" x14ac:dyDescent="0.3">
      <c r="B387" s="39"/>
    </row>
    <row r="388" spans="2:2" x14ac:dyDescent="0.3">
      <c r="B388" s="39"/>
    </row>
    <row r="389" spans="2:2" x14ac:dyDescent="0.3">
      <c r="B389" s="39"/>
    </row>
    <row r="390" spans="2:2" x14ac:dyDescent="0.3">
      <c r="B390" s="39"/>
    </row>
    <row r="391" spans="2:2" x14ac:dyDescent="0.3">
      <c r="B391" s="39"/>
    </row>
    <row r="392" spans="2:2" x14ac:dyDescent="0.3">
      <c r="B392" s="39"/>
    </row>
    <row r="393" spans="2:2" x14ac:dyDescent="0.3">
      <c r="B393" s="39"/>
    </row>
    <row r="394" spans="2:2" x14ac:dyDescent="0.3">
      <c r="B394" s="39"/>
    </row>
    <row r="395" spans="2:2" x14ac:dyDescent="0.3">
      <c r="B395" s="39"/>
    </row>
    <row r="396" spans="2:2" x14ac:dyDescent="0.3">
      <c r="B396" s="39"/>
    </row>
    <row r="397" spans="2:2" x14ac:dyDescent="0.3">
      <c r="B397" s="39"/>
    </row>
    <row r="398" spans="2:2" x14ac:dyDescent="0.3">
      <c r="B398" s="39"/>
    </row>
    <row r="399" spans="2:2" x14ac:dyDescent="0.3">
      <c r="B399" s="39"/>
    </row>
    <row r="400" spans="2:2" x14ac:dyDescent="0.3">
      <c r="B400" s="39"/>
    </row>
    <row r="401" spans="2:2" x14ac:dyDescent="0.3">
      <c r="B401" s="39"/>
    </row>
    <row r="402" spans="2:2" x14ac:dyDescent="0.3">
      <c r="B402" s="39"/>
    </row>
    <row r="403" spans="2:2" x14ac:dyDescent="0.3">
      <c r="B403" s="39"/>
    </row>
    <row r="404" spans="2:2" x14ac:dyDescent="0.3">
      <c r="B404" s="39"/>
    </row>
    <row r="405" spans="2:2" x14ac:dyDescent="0.3">
      <c r="B405" s="39"/>
    </row>
    <row r="406" spans="2:2" x14ac:dyDescent="0.3">
      <c r="B406" s="39"/>
    </row>
    <row r="407" spans="2:2" x14ac:dyDescent="0.3">
      <c r="B407" s="39"/>
    </row>
    <row r="408" spans="2:2" x14ac:dyDescent="0.3">
      <c r="B408" s="39"/>
    </row>
    <row r="409" spans="2:2" x14ac:dyDescent="0.3">
      <c r="B409" s="39"/>
    </row>
    <row r="410" spans="2:2" x14ac:dyDescent="0.3">
      <c r="B410" s="39"/>
    </row>
    <row r="411" spans="2:2" x14ac:dyDescent="0.3">
      <c r="B411" s="39"/>
    </row>
    <row r="412" spans="2:2" x14ac:dyDescent="0.3">
      <c r="B412" s="39"/>
    </row>
    <row r="413" spans="2:2" x14ac:dyDescent="0.3">
      <c r="B413" s="39"/>
    </row>
    <row r="414" spans="2:2" x14ac:dyDescent="0.3">
      <c r="B414" s="39"/>
    </row>
    <row r="415" spans="2:2" x14ac:dyDescent="0.3">
      <c r="B415" s="39"/>
    </row>
    <row r="416" spans="2:2" x14ac:dyDescent="0.3">
      <c r="B416" s="39"/>
    </row>
    <row r="417" spans="2:2" x14ac:dyDescent="0.3">
      <c r="B417" s="39"/>
    </row>
    <row r="418" spans="2:2" x14ac:dyDescent="0.3">
      <c r="B418" s="39"/>
    </row>
    <row r="419" spans="2:2" x14ac:dyDescent="0.3">
      <c r="B419" s="39"/>
    </row>
    <row r="420" spans="2:2" x14ac:dyDescent="0.3">
      <c r="B420" s="39"/>
    </row>
    <row r="421" spans="2:2" x14ac:dyDescent="0.3">
      <c r="B421" s="39"/>
    </row>
    <row r="422" spans="2:2" x14ac:dyDescent="0.3">
      <c r="B422" s="39"/>
    </row>
    <row r="423" spans="2:2" x14ac:dyDescent="0.3">
      <c r="B423" s="39"/>
    </row>
    <row r="424" spans="2:2" x14ac:dyDescent="0.3">
      <c r="B424" s="39"/>
    </row>
    <row r="425" spans="2:2" x14ac:dyDescent="0.3">
      <c r="B425" s="39"/>
    </row>
    <row r="426" spans="2:2" x14ac:dyDescent="0.3">
      <c r="B426" s="39"/>
    </row>
    <row r="427" spans="2:2" x14ac:dyDescent="0.3">
      <c r="B427" s="39"/>
    </row>
    <row r="428" spans="2:2" x14ac:dyDescent="0.3">
      <c r="B428" s="39"/>
    </row>
    <row r="429" spans="2:2" x14ac:dyDescent="0.3">
      <c r="B429" s="39"/>
    </row>
    <row r="430" spans="2:2" x14ac:dyDescent="0.3">
      <c r="B430" s="39"/>
    </row>
    <row r="431" spans="2:2" x14ac:dyDescent="0.3">
      <c r="B431" s="39"/>
    </row>
    <row r="432" spans="2:2" x14ac:dyDescent="0.3">
      <c r="B432" s="39"/>
    </row>
    <row r="433" spans="2:2" x14ac:dyDescent="0.3">
      <c r="B433" s="39"/>
    </row>
    <row r="434" spans="2:2" x14ac:dyDescent="0.3">
      <c r="B434" s="39"/>
    </row>
    <row r="435" spans="2:2" x14ac:dyDescent="0.3">
      <c r="B435" s="39"/>
    </row>
    <row r="436" spans="2:2" x14ac:dyDescent="0.3">
      <c r="B436" s="39"/>
    </row>
    <row r="437" spans="2:2" x14ac:dyDescent="0.3">
      <c r="B437" s="39"/>
    </row>
    <row r="438" spans="2:2" x14ac:dyDescent="0.3">
      <c r="B438" s="39"/>
    </row>
    <row r="439" spans="2:2" x14ac:dyDescent="0.3">
      <c r="B439" s="39"/>
    </row>
    <row r="440" spans="2:2" x14ac:dyDescent="0.3">
      <c r="B440" s="39"/>
    </row>
    <row r="441" spans="2:2" x14ac:dyDescent="0.3">
      <c r="B441" s="39"/>
    </row>
    <row r="442" spans="2:2" x14ac:dyDescent="0.3">
      <c r="B442" s="39"/>
    </row>
    <row r="443" spans="2:2" x14ac:dyDescent="0.3">
      <c r="B443" s="39"/>
    </row>
    <row r="444" spans="2:2" x14ac:dyDescent="0.3">
      <c r="B444" s="39"/>
    </row>
    <row r="445" spans="2:2" x14ac:dyDescent="0.3">
      <c r="B445" s="39"/>
    </row>
    <row r="446" spans="2:2" x14ac:dyDescent="0.3">
      <c r="B446" s="39"/>
    </row>
    <row r="447" spans="2:2" x14ac:dyDescent="0.3">
      <c r="B447" s="39"/>
    </row>
    <row r="448" spans="2:2" x14ac:dyDescent="0.3">
      <c r="B448" s="39"/>
    </row>
    <row r="449" spans="2:2" x14ac:dyDescent="0.3">
      <c r="B449" s="39"/>
    </row>
    <row r="450" spans="2:2" x14ac:dyDescent="0.3">
      <c r="B450" s="39"/>
    </row>
    <row r="451" spans="2:2" x14ac:dyDescent="0.3">
      <c r="B451" s="39"/>
    </row>
    <row r="452" spans="2:2" x14ac:dyDescent="0.3">
      <c r="B452" s="39"/>
    </row>
    <row r="453" spans="2:2" x14ac:dyDescent="0.3">
      <c r="B453" s="39"/>
    </row>
    <row r="454" spans="2:2" x14ac:dyDescent="0.3">
      <c r="B454" s="39"/>
    </row>
  </sheetData>
  <mergeCells count="5">
    <mergeCell ref="B1:O1"/>
    <mergeCell ref="A48:S48"/>
    <mergeCell ref="D3:H4"/>
    <mergeCell ref="A3:C5"/>
    <mergeCell ref="I3:S4"/>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58A5C-971E-42E4-B78E-DA9A6DBB4DF5}">
  <dimension ref="A1:Q38"/>
  <sheetViews>
    <sheetView showGridLines="0" workbookViewId="0">
      <selection activeCell="B2" sqref="B2"/>
    </sheetView>
  </sheetViews>
  <sheetFormatPr defaultRowHeight="14.4" x14ac:dyDescent="0.3"/>
  <cols>
    <col min="1" max="1" width="2.33203125" customWidth="1"/>
    <col min="2" max="2" width="29.88671875" customWidth="1"/>
    <col min="3" max="3" width="12.5546875" bestFit="1" customWidth="1"/>
    <col min="4" max="7" width="10.77734375" bestFit="1" customWidth="1"/>
    <col min="8" max="17" width="11.21875" bestFit="1" customWidth="1"/>
  </cols>
  <sheetData>
    <row r="1" spans="1:17" s="33" customFormat="1" ht="61.8" customHeight="1" x14ac:dyDescent="1.2">
      <c r="A1" s="35"/>
      <c r="B1" s="334" t="s">
        <v>475</v>
      </c>
      <c r="C1" s="334"/>
      <c r="D1" s="334"/>
      <c r="E1" s="334"/>
      <c r="F1" s="334"/>
      <c r="G1" s="334"/>
      <c r="H1" s="334"/>
      <c r="I1" s="334"/>
      <c r="J1" s="334"/>
      <c r="K1" s="334"/>
      <c r="L1" s="334"/>
      <c r="M1" s="334"/>
      <c r="N1" s="334"/>
      <c r="O1" s="334"/>
      <c r="P1" s="35"/>
      <c r="Q1" s="35"/>
    </row>
    <row r="3" spans="1:17" x14ac:dyDescent="0.3">
      <c r="B3" s="359" t="s">
        <v>427</v>
      </c>
      <c r="C3" s="233">
        <f>'Forecasts &amp; support schedules'!D5</f>
        <v>44286</v>
      </c>
      <c r="D3" s="233">
        <f>'Forecasts &amp; support schedules'!E5</f>
        <v>44651</v>
      </c>
      <c r="E3" s="233">
        <f>'Forecasts &amp; support schedules'!F5</f>
        <v>45016</v>
      </c>
      <c r="F3" s="233">
        <f>'Forecasts &amp; support schedules'!G5</f>
        <v>45382</v>
      </c>
      <c r="G3" s="233">
        <f>'Forecasts &amp; support schedules'!H5</f>
        <v>45747</v>
      </c>
      <c r="H3" s="234"/>
      <c r="I3" s="234"/>
      <c r="J3" s="234"/>
      <c r="K3" s="234"/>
      <c r="L3" s="234"/>
      <c r="M3" s="234"/>
      <c r="N3" s="234"/>
      <c r="O3" s="234"/>
      <c r="P3" s="234"/>
      <c r="Q3" s="234"/>
    </row>
    <row r="4" spans="1:17" ht="15" thickBot="1" x14ac:dyDescent="0.35">
      <c r="B4" s="360"/>
      <c r="C4" s="227" t="s">
        <v>426</v>
      </c>
      <c r="D4" s="227" t="s">
        <v>426</v>
      </c>
      <c r="E4" s="227" t="s">
        <v>426</v>
      </c>
      <c r="F4" s="227" t="s">
        <v>426</v>
      </c>
      <c r="G4" s="227" t="s">
        <v>426</v>
      </c>
      <c r="H4" s="235"/>
      <c r="I4" s="235"/>
      <c r="J4" s="235"/>
      <c r="K4" s="235"/>
      <c r="L4" s="235"/>
      <c r="M4" s="235"/>
      <c r="N4" s="235"/>
      <c r="O4" s="235"/>
      <c r="P4" s="235"/>
      <c r="Q4" s="235"/>
    </row>
    <row r="5" spans="1:17" ht="16.2" thickTop="1" x14ac:dyDescent="0.4">
      <c r="B5" s="228" t="s">
        <v>428</v>
      </c>
      <c r="C5" s="232"/>
      <c r="D5" s="232"/>
      <c r="E5" s="232"/>
      <c r="F5" s="232"/>
      <c r="G5" s="232"/>
      <c r="H5" s="33"/>
      <c r="I5" s="33"/>
      <c r="J5" s="33"/>
      <c r="K5" s="33"/>
      <c r="L5" s="33"/>
      <c r="M5" s="33"/>
      <c r="N5" s="33"/>
      <c r="O5" s="33"/>
      <c r="P5" s="33"/>
      <c r="Q5" s="33"/>
    </row>
    <row r="6" spans="1:17" x14ac:dyDescent="0.3">
      <c r="B6" s="229" t="s">
        <v>429</v>
      </c>
      <c r="C6" s="281">
        <f>('Forecasts &amp; support schedules'!D81-'Forecasts &amp; support schedules'!D70)/'Forecasts &amp; support schedules'!D124</f>
        <v>0.6356575031188888</v>
      </c>
      <c r="D6" s="281">
        <f>('Forecasts &amp; support schedules'!E81-'Forecasts &amp; support schedules'!E70)/'Forecasts &amp; support schedules'!E124</f>
        <v>0.63997165486405716</v>
      </c>
      <c r="E6" s="281">
        <f>('Forecasts &amp; support schedules'!F81-'Forecasts &amp; support schedules'!F70)/'Forecasts &amp; support schedules'!F124</f>
        <v>0.66494567522006176</v>
      </c>
      <c r="F6" s="281">
        <f>('Forecasts &amp; support schedules'!G81-'Forecasts &amp; support schedules'!G70)/'Forecasts &amp; support schedules'!G124</f>
        <v>0.67337024005051782</v>
      </c>
      <c r="G6" s="281">
        <f>('Forecasts &amp; support schedules'!H81-'Forecasts &amp; support schedules'!H70)/'Forecasts &amp; support schedules'!H124</f>
        <v>0.63036315269497889</v>
      </c>
    </row>
    <row r="7" spans="1:17" x14ac:dyDescent="0.3">
      <c r="B7" s="229" t="s">
        <v>430</v>
      </c>
      <c r="C7" s="292">
        <f>'Forecasts &amp; support schedules'!D81/'Forecasts &amp; support schedules'!D124</f>
        <v>0.80412259614977044</v>
      </c>
      <c r="D7" s="292">
        <f>'Forecasts &amp; support schedules'!E81/'Forecasts &amp; support schedules'!E124</f>
        <v>0.80487299244070731</v>
      </c>
      <c r="E7" s="292">
        <f>'Forecasts &amp; support schedules'!F81/'Forecasts &amp; support schedules'!F124</f>
        <v>0.84662579452861086</v>
      </c>
      <c r="F7" s="292">
        <f>'Forecasts &amp; support schedules'!G81/'Forecasts &amp; support schedules'!G124</f>
        <v>0.86177184625675618</v>
      </c>
      <c r="G7" s="292">
        <f>'Forecasts &amp; support schedules'!H81/'Forecasts &amp; support schedules'!H124</f>
        <v>0.85369316999029676</v>
      </c>
    </row>
    <row r="8" spans="1:17" x14ac:dyDescent="0.3">
      <c r="B8" s="229" t="s">
        <v>431</v>
      </c>
      <c r="C8" s="292">
        <f>-'Forecasts &amp; support schedules'!D35/'Forecasts &amp; support schedules'!D36</f>
        <v>426.78782894736844</v>
      </c>
      <c r="D8" s="292">
        <f>-'Forecasts &amp; support schedules'!E35/'Forecasts &amp; support schedules'!E36</f>
        <v>495.82680412371133</v>
      </c>
      <c r="E8" s="292">
        <f>-'Forecasts &amp; support schedules'!F35/'Forecasts &amp; support schedules'!F36</f>
        <v>192.34279918864098</v>
      </c>
      <c r="F8" s="292">
        <f>-'Forecasts &amp; support schedules'!G35/'Forecasts &amp; support schedules'!G36</f>
        <v>493.53276353276351</v>
      </c>
      <c r="G8" s="292">
        <f>-'Forecasts &amp; support schedules'!H35/'Forecasts &amp; support schedules'!H36</f>
        <v>490.15088449531737</v>
      </c>
    </row>
    <row r="9" spans="1:17" x14ac:dyDescent="0.3">
      <c r="B9" s="229" t="s">
        <v>432</v>
      </c>
      <c r="C9" s="292">
        <f>'Forecasts &amp; support schedules'!D27/'Forecasts &amp; support schedules'!D51</f>
        <v>5.6583504325085494</v>
      </c>
      <c r="D9" s="292">
        <f>'Forecasts &amp; support schedules'!E27/'Forecasts &amp; support schedules'!E51</f>
        <v>6.1026313377461276</v>
      </c>
      <c r="E9" s="292">
        <f>'Forecasts &amp; support schedules'!F27/'Forecasts &amp; support schedules'!F51</f>
        <v>6.5494319510375565</v>
      </c>
      <c r="F9" s="292">
        <f>'Forecasts &amp; support schedules'!G27/'Forecasts &amp; support schedules'!G51</f>
        <v>7.2331386028897571</v>
      </c>
      <c r="G9" s="292">
        <f>'Forecasts &amp; support schedules'!H27/'Forecasts &amp; support schedules'!H51</f>
        <v>7.3826770228395429</v>
      </c>
    </row>
    <row r="10" spans="1:17" x14ac:dyDescent="0.3">
      <c r="B10" s="229" t="s">
        <v>433</v>
      </c>
      <c r="C10" s="292">
        <f xml:space="preserve"> 'Forecasts &amp; support schedules'!D20-'Forecasts &amp; support schedules'!D21</f>
        <v>75.700035040893482</v>
      </c>
      <c r="D10" s="292">
        <f xml:space="preserve"> 'Forecasts &amp; support schedules'!E20-'Forecasts &amp; support schedules'!E21</f>
        <v>216.29497136574096</v>
      </c>
      <c r="E10" s="292">
        <f xml:space="preserve"> 'Forecasts &amp; support schedules'!F20-'Forecasts &amp; support schedules'!F21</f>
        <v>221.76452351093988</v>
      </c>
      <c r="F10" s="292">
        <f xml:space="preserve"> 'Forecasts &amp; support schedules'!G20-'Forecasts &amp; support schedules'!G21</f>
        <v>232.39117207543532</v>
      </c>
      <c r="G10" s="292">
        <f xml:space="preserve"> 'Forecasts &amp; support schedules'!H20-'Forecasts &amp; support schedules'!H21</f>
        <v>241.00315468485655</v>
      </c>
    </row>
    <row r="11" spans="1:17" x14ac:dyDescent="0.3">
      <c r="B11" s="229" t="s">
        <v>434</v>
      </c>
      <c r="C11" s="293">
        <f>'Forecasts &amp; support schedules'!D97/'Forecasts &amp; support schedules'!D91</f>
        <v>0</v>
      </c>
      <c r="D11" s="293">
        <f>'Forecasts &amp; support schedules'!E97/'Forecasts &amp; support schedules'!E91</f>
        <v>0</v>
      </c>
      <c r="E11" s="293">
        <f>'Forecasts &amp; support schedules'!F97/'Forecasts &amp; support schedules'!F91</f>
        <v>0</v>
      </c>
      <c r="F11" s="293">
        <f>'Forecasts &amp; support schedules'!G97/'Forecasts &amp; support schedules'!G91</f>
        <v>0</v>
      </c>
      <c r="G11" s="293">
        <f>'Forecasts &amp; support schedules'!H97/'Forecasts &amp; support schedules'!H91</f>
        <v>0</v>
      </c>
    </row>
    <row r="12" spans="1:17" x14ac:dyDescent="0.3">
      <c r="B12" s="229"/>
    </row>
    <row r="13" spans="1:17" x14ac:dyDescent="0.3">
      <c r="B13" s="229"/>
    </row>
    <row r="14" spans="1:17" ht="15.6" x14ac:dyDescent="0.4">
      <c r="B14" s="230" t="s">
        <v>435</v>
      </c>
    </row>
    <row r="15" spans="1:17" x14ac:dyDescent="0.3">
      <c r="B15" s="229" t="s">
        <v>436</v>
      </c>
      <c r="C15" s="294">
        <f>'Forecasts &amp; support schedules'!D29/'Forecasts &amp; support schedules'!D27</f>
        <v>0.42777038687185498</v>
      </c>
      <c r="D15" s="294">
        <f>'Forecasts &amp; support schedules'!E29/'Forecasts &amp; support schedules'!E27</f>
        <v>0.38442289809948699</v>
      </c>
      <c r="E15" s="294">
        <f>'Forecasts &amp; support schedules'!F29/'Forecasts &amp; support schedules'!F27</f>
        <v>0.39909215581824981</v>
      </c>
      <c r="F15" s="294">
        <f>'Forecasts &amp; support schedules'!G29/'Forecasts &amp; support schedules'!G27</f>
        <v>0.42055510850848737</v>
      </c>
      <c r="G15" s="294">
        <f>'Forecasts &amp; support schedules'!H29/'Forecasts &amp; support schedules'!H27</f>
        <v>0.41657645761414419</v>
      </c>
    </row>
    <row r="16" spans="1:17" x14ac:dyDescent="0.3">
      <c r="B16" s="229" t="s">
        <v>437</v>
      </c>
      <c r="C16" s="294">
        <f>'Forecasts &amp; support schedules'!D35/'Forecasts &amp; support schedules'!D27</f>
        <v>0.18450663866101907</v>
      </c>
      <c r="D16" s="294">
        <f>'Forecasts &amp; support schedules'!E35/'Forecasts &amp; support schedules'!E27</f>
        <v>0.15703262947832539</v>
      </c>
      <c r="E16" s="294">
        <f>'Forecasts &amp; support schedules'!F35/'Forecasts &amp; support schedules'!F27</f>
        <v>0.16121034557015107</v>
      </c>
      <c r="F16" s="294">
        <f>'Forecasts &amp; support schedules'!G35/'Forecasts &amp; support schedules'!G27</f>
        <v>0.17177515036399216</v>
      </c>
      <c r="G16" s="294">
        <f>'Forecasts &amp; support schedules'!H35/'Forecasts &amp; support schedules'!H27</f>
        <v>0.19910169959349919</v>
      </c>
    </row>
    <row r="17" spans="2:7" x14ac:dyDescent="0.3">
      <c r="B17" s="229" t="s">
        <v>438</v>
      </c>
      <c r="C17" s="294">
        <f>'Forecasts &amp; support schedules'!D44/'Forecasts &amp; support schedules'!D27</f>
        <v>0.13754574678448189</v>
      </c>
      <c r="D17" s="294">
        <f>'Forecasts &amp; support schedules'!E44/'Forecasts &amp; support schedules'!E27</f>
        <v>0.10587406358725747</v>
      </c>
      <c r="E17" s="294">
        <f>'Forecasts &amp; support schedules'!F44/'Forecasts &amp; support schedules'!F27</f>
        <v>0.13709863880042161</v>
      </c>
      <c r="F17" s="294">
        <f>'Forecasts &amp; support schedules'!G44/'Forecasts &amp; support schedules'!G27</f>
        <v>0.13033611824651117</v>
      </c>
      <c r="G17" s="294">
        <f>'Forecasts &amp; support schedules'!H44/'Forecasts &amp; support schedules'!H27</f>
        <v>0.15839751526015924</v>
      </c>
    </row>
    <row r="18" spans="2:7" x14ac:dyDescent="0.3">
      <c r="B18" s="229" t="s">
        <v>439</v>
      </c>
      <c r="C18" s="295">
        <f>'Forecasts &amp; support schedules'!D35/('Forecasts &amp; support schedules'!D84-'Forecasts &amp; support schedules'!D107)</f>
        <v>9.2992360984686134E-2</v>
      </c>
      <c r="D18" s="295">
        <f>'Forecasts &amp; support schedules'!E35/('Forecasts &amp; support schedules'!E84-'Forecasts &amp; support schedules'!E107)</f>
        <v>7.5423787555307154E-2</v>
      </c>
      <c r="E18" s="295">
        <f>'Forecasts &amp; support schedules'!F35/('Forecasts &amp; support schedules'!F84-'Forecasts &amp; support schedules'!F107)</f>
        <v>8.2585855977176548E-2</v>
      </c>
      <c r="F18" s="295">
        <f>'Forecasts &amp; support schedules'!G35/('Forecasts &amp; support schedules'!G84-'Forecasts &amp; support schedules'!G107)</f>
        <v>9.0289957000079038E-2</v>
      </c>
      <c r="G18" s="295">
        <f>'Forecasts &amp; support schedules'!H35/('Forecasts &amp; support schedules'!H84-'Forecasts &amp; support schedules'!H107)</f>
        <v>0.11851317524531788</v>
      </c>
    </row>
    <row r="19" spans="2:7" x14ac:dyDescent="0.3">
      <c r="B19" s="229"/>
    </row>
    <row r="20" spans="2:7" x14ac:dyDescent="0.3">
      <c r="B20" s="229"/>
    </row>
    <row r="21" spans="2:7" x14ac:dyDescent="0.3">
      <c r="B21" s="231" t="s">
        <v>440</v>
      </c>
    </row>
    <row r="22" spans="2:7" x14ac:dyDescent="0.3">
      <c r="B22" s="229"/>
    </row>
    <row r="23" spans="2:7" x14ac:dyDescent="0.3">
      <c r="B23" s="229" t="s">
        <v>441</v>
      </c>
      <c r="C23" s="296">
        <f>C24*C25</f>
        <v>6.1022472308863138E-2</v>
      </c>
      <c r="D23" s="296">
        <f t="shared" ref="D23:G23" si="0">D24*D25</f>
        <v>4.6722483338907335E-2</v>
      </c>
      <c r="E23" s="296">
        <f t="shared" si="0"/>
        <v>6.4497121494003579E-2</v>
      </c>
      <c r="F23" s="296">
        <f t="shared" si="0"/>
        <v>6.5426113259675289E-2</v>
      </c>
      <c r="G23" s="296">
        <f t="shared" si="0"/>
        <v>9.1775637945467087E-2</v>
      </c>
    </row>
    <row r="24" spans="2:7" x14ac:dyDescent="0.3">
      <c r="B24" s="229" t="s">
        <v>442</v>
      </c>
      <c r="C24" s="267">
        <f>C17</f>
        <v>0.13754574678448189</v>
      </c>
      <c r="D24" s="267">
        <f t="shared" ref="D24:G24" si="1">D17</f>
        <v>0.10587406358725747</v>
      </c>
      <c r="E24" s="267">
        <f t="shared" si="1"/>
        <v>0.13709863880042161</v>
      </c>
      <c r="F24" s="267">
        <f t="shared" si="1"/>
        <v>0.13033611824651117</v>
      </c>
      <c r="G24" s="267">
        <f t="shared" si="1"/>
        <v>0.15839751526015924</v>
      </c>
    </row>
    <row r="25" spans="2:7" x14ac:dyDescent="0.3">
      <c r="B25" s="229" t="s">
        <v>443</v>
      </c>
      <c r="C25" s="297">
        <f>'Forecasts &amp; support schedules'!D27/AVERAGE('Forecasts &amp; support schedules'!D84:E84)</f>
        <v>0.44365219380049764</v>
      </c>
      <c r="D25" s="297">
        <f>'Forecasts &amp; support schedules'!E27/AVERAGE('Forecasts &amp; support schedules'!E84:F84)</f>
        <v>0.44130244703794147</v>
      </c>
      <c r="E25" s="297">
        <f>'Forecasts &amp; support schedules'!F27/AVERAGE('Forecasts &amp; support schedules'!F84:G84)</f>
        <v>0.47044319373508786</v>
      </c>
      <c r="F25" s="297">
        <f>'Forecasts &amp; support schedules'!G27/AVERAGE('Forecasts &amp; support schedules'!G84:H84)</f>
        <v>0.50197991270486997</v>
      </c>
      <c r="G25" s="297">
        <f>'Forecasts &amp; support schedules'!H27/AVERAGE('Forecasts &amp; support schedules'!H84:I84)</f>
        <v>0.57940074245944218</v>
      </c>
    </row>
    <row r="26" spans="2:7" x14ac:dyDescent="0.3">
      <c r="B26" s="229"/>
      <c r="C26" s="266"/>
      <c r="D26" s="266"/>
      <c r="E26" s="266"/>
      <c r="F26" s="266"/>
      <c r="G26" s="266"/>
    </row>
    <row r="27" spans="2:7" x14ac:dyDescent="0.3">
      <c r="B27" s="229" t="s">
        <v>444</v>
      </c>
      <c r="C27" s="296">
        <f>C28*C29*C30</f>
        <v>0.13084084592963632</v>
      </c>
      <c r="D27" s="296">
        <f t="shared" ref="D27:G27" si="2">D28*D29*D30</f>
        <v>0.10379596096770603</v>
      </c>
      <c r="E27" s="296">
        <f t="shared" si="2"/>
        <v>0.13980987354302712</v>
      </c>
      <c r="F27" s="296">
        <f t="shared" si="2"/>
        <v>0.13650277049736129</v>
      </c>
      <c r="G27" s="296">
        <f t="shared" si="2"/>
        <v>0.16016430321917954</v>
      </c>
    </row>
    <row r="28" spans="2:7" x14ac:dyDescent="0.3">
      <c r="B28" s="229" t="s">
        <v>442</v>
      </c>
      <c r="C28" s="267">
        <f>C24</f>
        <v>0.13754574678448189</v>
      </c>
      <c r="D28" s="267">
        <f t="shared" ref="D28:G28" si="3">D24</f>
        <v>0.10587406358725747</v>
      </c>
      <c r="E28" s="267">
        <f t="shared" si="3"/>
        <v>0.13709863880042161</v>
      </c>
      <c r="F28" s="267">
        <f t="shared" si="3"/>
        <v>0.13033611824651117</v>
      </c>
      <c r="G28" s="267">
        <f t="shared" si="3"/>
        <v>0.15839751526015924</v>
      </c>
    </row>
    <row r="29" spans="2:7" x14ac:dyDescent="0.3">
      <c r="B29" s="229" t="s">
        <v>443</v>
      </c>
      <c r="C29" s="297">
        <f>C25</f>
        <v>0.44365219380049764</v>
      </c>
      <c r="D29" s="297">
        <f t="shared" ref="D29:G29" si="4">D25</f>
        <v>0.44130244703794147</v>
      </c>
      <c r="E29" s="297">
        <f t="shared" si="4"/>
        <v>0.47044319373508786</v>
      </c>
      <c r="F29" s="297">
        <f t="shared" si="4"/>
        <v>0.50197991270486997</v>
      </c>
      <c r="G29" s="297">
        <f t="shared" si="4"/>
        <v>0.57940074245944218</v>
      </c>
    </row>
    <row r="30" spans="2:7" x14ac:dyDescent="0.3">
      <c r="B30" s="229" t="s">
        <v>445</v>
      </c>
      <c r="C30" s="297">
        <f>'Forecasts &amp; support schedules'!D81/'Forecasts &amp; support schedules'!D90</f>
        <v>2.1441420017758359</v>
      </c>
      <c r="D30" s="297">
        <f>'Forecasts &amp; support schedules'!E81/'Forecasts &amp; support schedules'!E90</f>
        <v>2.2215420403665007</v>
      </c>
      <c r="E30" s="297">
        <f>'Forecasts &amp; support schedules'!F81/'Forecasts &amp; support schedules'!F90</f>
        <v>2.1676916783956863</v>
      </c>
      <c r="F30" s="297">
        <f>'Forecasts &amp; support schedules'!G81/'Forecasts &amp; support schedules'!G90</f>
        <v>2.0863652706310671</v>
      </c>
      <c r="G30" s="297">
        <f>'Forecasts &amp; support schedules'!H81/'Forecasts &amp; support schedules'!H90</f>
        <v>1.7451723224669806</v>
      </c>
    </row>
    <row r="31" spans="2:7" x14ac:dyDescent="0.3">
      <c r="B31" s="229"/>
    </row>
    <row r="32" spans="2:7" ht="15.6" x14ac:dyDescent="0.4">
      <c r="B32" s="230" t="s">
        <v>446</v>
      </c>
    </row>
    <row r="33" spans="2:8" x14ac:dyDescent="0.3">
      <c r="B33" s="229" t="s">
        <v>447</v>
      </c>
      <c r="C33" s="298" t="s">
        <v>450</v>
      </c>
      <c r="D33" s="298" t="s">
        <v>451</v>
      </c>
      <c r="E33" s="298" t="s">
        <v>452</v>
      </c>
      <c r="F33" s="298" t="s">
        <v>453</v>
      </c>
      <c r="G33" s="298" t="s">
        <v>454</v>
      </c>
      <c r="H33" s="110"/>
    </row>
    <row r="34" spans="2:8" x14ac:dyDescent="0.3">
      <c r="B34" s="229"/>
    </row>
    <row r="35" spans="2:8" x14ac:dyDescent="0.3">
      <c r="B35" s="229" t="s">
        <v>448</v>
      </c>
      <c r="C35" s="298" t="s">
        <v>455</v>
      </c>
      <c r="D35" s="298" t="s">
        <v>456</v>
      </c>
      <c r="E35" s="298" t="s">
        <v>457</v>
      </c>
      <c r="F35" s="298" t="s">
        <v>458</v>
      </c>
      <c r="G35" s="298" t="s">
        <v>459</v>
      </c>
      <c r="H35" s="110"/>
    </row>
    <row r="36" spans="2:8" x14ac:dyDescent="0.3">
      <c r="B36" s="229"/>
      <c r="C36" s="298"/>
      <c r="D36" s="298"/>
      <c r="E36" s="298"/>
      <c r="F36" s="298"/>
      <c r="G36" s="298"/>
    </row>
    <row r="37" spans="2:8" x14ac:dyDescent="0.3">
      <c r="B37" s="229" t="s">
        <v>449</v>
      </c>
      <c r="C37" s="298" t="s">
        <v>460</v>
      </c>
      <c r="D37" s="298" t="s">
        <v>461</v>
      </c>
      <c r="E37" s="298" t="s">
        <v>462</v>
      </c>
      <c r="F37" s="298" t="s">
        <v>463</v>
      </c>
      <c r="G37" s="298" t="s">
        <v>464</v>
      </c>
      <c r="H37" s="110"/>
    </row>
    <row r="38" spans="2:8" x14ac:dyDescent="0.3">
      <c r="B38" s="229"/>
    </row>
  </sheetData>
  <mergeCells count="2">
    <mergeCell ref="B3:B4"/>
    <mergeCell ref="B1:O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63E0-56A6-4839-874C-63B611CFC456}">
  <dimension ref="A1:R102"/>
  <sheetViews>
    <sheetView showGridLines="0" workbookViewId="0">
      <selection activeCell="B1" sqref="B1:O1"/>
    </sheetView>
  </sheetViews>
  <sheetFormatPr defaultRowHeight="14.4" x14ac:dyDescent="0.3"/>
  <cols>
    <col min="1" max="1" width="2.33203125" customWidth="1"/>
    <col min="2" max="2" width="32.5546875" customWidth="1"/>
    <col min="4" max="4" width="10.33203125" bestFit="1" customWidth="1"/>
  </cols>
  <sheetData>
    <row r="1" spans="1:18" s="33" customFormat="1" ht="61.8" customHeight="1" x14ac:dyDescent="1.2">
      <c r="A1" s="35"/>
      <c r="B1" s="334" t="s">
        <v>478</v>
      </c>
      <c r="C1" s="334"/>
      <c r="D1" s="334"/>
      <c r="E1" s="334"/>
      <c r="F1" s="334"/>
      <c r="G1" s="334"/>
      <c r="H1" s="334"/>
      <c r="I1" s="334"/>
      <c r="J1" s="334"/>
      <c r="K1" s="334"/>
      <c r="L1" s="334"/>
      <c r="M1" s="334"/>
      <c r="N1" s="334"/>
      <c r="O1" s="334"/>
      <c r="P1" s="35"/>
      <c r="Q1" s="35"/>
    </row>
    <row r="5" spans="1:18" ht="19.95" customHeight="1" x14ac:dyDescent="0.3">
      <c r="A5" s="361" t="s">
        <v>95</v>
      </c>
      <c r="B5" s="361"/>
      <c r="C5" s="241"/>
      <c r="D5" s="242">
        <f>'Ratio analysis'!C3</f>
        <v>44286</v>
      </c>
      <c r="E5" s="242">
        <f>'Ratio analysis'!D3</f>
        <v>44651</v>
      </c>
      <c r="F5" s="242">
        <f>'Ratio analysis'!E3</f>
        <v>45016</v>
      </c>
      <c r="G5" s="242">
        <f>'Ratio analysis'!F3</f>
        <v>45382</v>
      </c>
      <c r="H5" s="242">
        <f>'Ratio analysis'!G3</f>
        <v>45747</v>
      </c>
      <c r="I5" s="236"/>
      <c r="J5" s="236"/>
      <c r="K5" s="236"/>
      <c r="L5" s="236"/>
      <c r="M5" s="236"/>
      <c r="N5" s="236"/>
      <c r="O5" s="236"/>
      <c r="P5" s="236"/>
      <c r="Q5" s="236"/>
      <c r="R5" s="236"/>
    </row>
    <row r="6" spans="1:18" ht="19.95" customHeight="1" thickBot="1" x14ac:dyDescent="0.35">
      <c r="A6" s="362"/>
      <c r="B6" s="362"/>
      <c r="C6" s="243"/>
      <c r="D6" s="240" t="s">
        <v>426</v>
      </c>
      <c r="E6" s="240" t="s">
        <v>426</v>
      </c>
      <c r="F6" s="240" t="s">
        <v>426</v>
      </c>
      <c r="G6" s="240" t="s">
        <v>426</v>
      </c>
      <c r="H6" s="240" t="s">
        <v>426</v>
      </c>
      <c r="I6" s="237"/>
      <c r="J6" s="237"/>
      <c r="K6" s="237"/>
      <c r="L6" s="237"/>
      <c r="M6" s="237"/>
      <c r="N6" s="237"/>
      <c r="O6" s="237"/>
      <c r="P6" s="237"/>
      <c r="Q6" s="237"/>
      <c r="R6" s="237"/>
    </row>
    <row r="7" spans="1:18" ht="15" thickTop="1" x14ac:dyDescent="0.3">
      <c r="A7" s="40" t="s">
        <v>342</v>
      </c>
    </row>
    <row r="8" spans="1:18" x14ac:dyDescent="0.3">
      <c r="B8" s="40" t="s">
        <v>343</v>
      </c>
      <c r="D8" s="52">
        <f>'Forecasts &amp; support schedules'!D27/'Forecasts &amp; support schedules'!$D$27</f>
        <v>1</v>
      </c>
      <c r="E8" s="52">
        <f>'Forecasts &amp; support schedules'!E27/'Forecasts &amp; support schedules'!E27</f>
        <v>1</v>
      </c>
      <c r="F8" s="52">
        <f>'Forecasts &amp; support schedules'!F27/'Forecasts &amp; support schedules'!F27</f>
        <v>1</v>
      </c>
      <c r="G8" s="52">
        <f>'Forecasts &amp; support schedules'!G27/'Forecasts &amp; support schedules'!G27</f>
        <v>1</v>
      </c>
      <c r="H8" s="52">
        <f>'Forecasts &amp; support schedules'!H27/'Forecasts &amp; support schedules'!H27</f>
        <v>1</v>
      </c>
    </row>
    <row r="9" spans="1:18" x14ac:dyDescent="0.3">
      <c r="B9" s="39" t="s">
        <v>344</v>
      </c>
      <c r="D9" s="52">
        <f>'Forecasts &amp; support schedules'!D28/'Forecasts &amp; support schedules'!$D$27</f>
        <v>-0.57222961312814502</v>
      </c>
      <c r="E9" s="52">
        <f>'Forecasts &amp; support schedules'!E28/'Forecasts &amp; support schedules'!E27</f>
        <v>-0.61557710190051296</v>
      </c>
      <c r="F9" s="52">
        <f>'Forecasts &amp; support schedules'!F28/'Forecasts &amp; support schedules'!F27</f>
        <v>-0.60090784418175014</v>
      </c>
      <c r="G9" s="52">
        <f>'Forecasts &amp; support schedules'!G28/'Forecasts &amp; support schedules'!G27</f>
        <v>-0.57944489149151268</v>
      </c>
      <c r="H9" s="52">
        <f>'Forecasts &amp; support schedules'!H28/'Forecasts &amp; support schedules'!H27</f>
        <v>-0.58342354238585581</v>
      </c>
    </row>
    <row r="10" spans="1:18" x14ac:dyDescent="0.3">
      <c r="B10" s="265" t="s">
        <v>345</v>
      </c>
      <c r="C10" s="266"/>
      <c r="D10" s="267">
        <f>D8+D9</f>
        <v>0.42777038687185498</v>
      </c>
      <c r="E10" s="267">
        <f t="shared" ref="E10:H10" si="0">E8+E9</f>
        <v>0.38442289809948704</v>
      </c>
      <c r="F10" s="267">
        <f t="shared" si="0"/>
        <v>0.39909215581824986</v>
      </c>
      <c r="G10" s="267">
        <f t="shared" si="0"/>
        <v>0.42055510850848732</v>
      </c>
      <c r="H10" s="267">
        <f t="shared" si="0"/>
        <v>0.41657645761414419</v>
      </c>
    </row>
    <row r="11" spans="1:18" x14ac:dyDescent="0.3">
      <c r="A11" s="40" t="s">
        <v>98</v>
      </c>
    </row>
    <row r="12" spans="1:18" x14ac:dyDescent="0.3">
      <c r="B12" s="39" t="s">
        <v>346</v>
      </c>
      <c r="D12" s="52">
        <f>'Forecasts &amp; support schedules'!D31/'Forecasts &amp; support schedules'!D$28</f>
        <v>0.24114596147489853</v>
      </c>
      <c r="E12" s="52">
        <f>'Forecasts &amp; support schedules'!E31/'Forecasts &amp; support schedules'!E$28</f>
        <v>0.22376522255696524</v>
      </c>
      <c r="F12" s="52">
        <f>'Forecasts &amp; support schedules'!F31/'Forecasts &amp; support schedules'!F$28</f>
        <v>0.2166905261728409</v>
      </c>
      <c r="G12" s="52">
        <f>'Forecasts &amp; support schedules'!G31/'Forecasts &amp; support schedules'!G$28</f>
        <v>0.21106267193175351</v>
      </c>
      <c r="H12" s="52">
        <f>'Forecasts &amp; support schedules'!H31/'Forecasts &amp; support schedules'!H$28</f>
        <v>0.19810413080396214</v>
      </c>
    </row>
    <row r="13" spans="1:18" x14ac:dyDescent="0.3">
      <c r="B13" s="39" t="s">
        <v>347</v>
      </c>
      <c r="D13" s="52">
        <f>'Forecasts &amp; support schedules'!D32/'Forecasts &amp; support schedules'!D$28</f>
        <v>0.13845004933061952</v>
      </c>
      <c r="E13" s="52">
        <f>'Forecasts &amp; support schedules'!E32/'Forecasts &amp; support schedules'!E$28</f>
        <v>0.10529872279034243</v>
      </c>
      <c r="F13" s="52">
        <f>'Forecasts &amp; support schedules'!F32/'Forecasts &amp; support schedules'!F$28</f>
        <v>0.14071544568237246</v>
      </c>
      <c r="G13" s="52">
        <f>'Forecasts &amp; support schedules'!G32/'Forecasts &amp; support schedules'!G$28</f>
        <v>0.18298971939026529</v>
      </c>
      <c r="H13" s="52">
        <f>'Forecasts &amp; support schedules'!H32/'Forecasts &amp; support schedules'!H$28</f>
        <v>0.14309436455634575</v>
      </c>
    </row>
    <row r="14" spans="1:18" x14ac:dyDescent="0.3">
      <c r="B14" s="265" t="s">
        <v>267</v>
      </c>
      <c r="C14" s="266"/>
      <c r="D14" s="267">
        <f>D12+D13</f>
        <v>0.37959601080551808</v>
      </c>
      <c r="E14" s="267">
        <f t="shared" ref="E14:H14" si="1">E12+E13</f>
        <v>0.32906394534730765</v>
      </c>
      <c r="F14" s="267">
        <f t="shared" si="1"/>
        <v>0.35740597185521339</v>
      </c>
      <c r="G14" s="267">
        <f t="shared" si="1"/>
        <v>0.3940523913220188</v>
      </c>
      <c r="H14" s="267">
        <f t="shared" si="1"/>
        <v>0.34119849536030789</v>
      </c>
    </row>
    <row r="15" spans="1:18" x14ac:dyDescent="0.3">
      <c r="B15" s="192" t="s">
        <v>348</v>
      </c>
      <c r="D15" s="52">
        <f>'Forecasts &amp; support schedules'!D34/'Forecasts &amp; support schedules'!D$27</f>
        <v>-2.6047669802607112E-2</v>
      </c>
      <c r="E15" s="52">
        <f>'Forecasts &amp; support schedules'!E34/'Forecasts &amp; support schedules'!E$27</f>
        <v>-2.4826038804317163E-2</v>
      </c>
      <c r="F15" s="52">
        <f>'Forecasts &amp; support schedules'!F34/'Forecasts &amp; support schedules'!F$27</f>
        <v>-2.3113758202899209E-2</v>
      </c>
      <c r="G15" s="52">
        <f>'Forecasts &amp; support schedules'!G34/'Forecasts &amp; support schedules'!G$27</f>
        <v>-2.0448313012936932E-2</v>
      </c>
      <c r="H15" s="52">
        <f>'Forecasts &amp; support schedules'!H34/'Forecasts &amp; support schedules'!H$27</f>
        <v>-1.8411523200810211E-2</v>
      </c>
    </row>
    <row r="16" spans="1:18" x14ac:dyDescent="0.3">
      <c r="B16" s="265" t="s">
        <v>349</v>
      </c>
      <c r="C16" s="266"/>
      <c r="D16" s="267">
        <f>D14+D15</f>
        <v>0.35354834100291099</v>
      </c>
      <c r="E16" s="267">
        <f t="shared" ref="E16:H16" si="2">E14+E15</f>
        <v>0.30423790654299049</v>
      </c>
      <c r="F16" s="267">
        <f t="shared" si="2"/>
        <v>0.33429221365231421</v>
      </c>
      <c r="G16" s="267">
        <f t="shared" si="2"/>
        <v>0.37360407830908188</v>
      </c>
      <c r="H16" s="267">
        <f t="shared" si="2"/>
        <v>0.3227869721594977</v>
      </c>
    </row>
    <row r="17" spans="1:8" x14ac:dyDescent="0.3">
      <c r="B17" s="39" t="s">
        <v>11</v>
      </c>
      <c r="D17" s="52">
        <f>'Forecasts &amp; support schedules'!D35/'Forecasts &amp; support schedules'!D$27</f>
        <v>0.18450663866101907</v>
      </c>
      <c r="E17" s="52">
        <f>'Forecasts &amp; support schedules'!E35/'Forecasts &amp; support schedules'!E$27</f>
        <v>0.15703262947832539</v>
      </c>
      <c r="F17" s="52">
        <f>'Forecasts &amp; support schedules'!F35/'Forecasts &amp; support schedules'!F$27</f>
        <v>0.16121034557015107</v>
      </c>
      <c r="G17" s="52">
        <f>'Forecasts &amp; support schedules'!G35/'Forecasts &amp; support schedules'!G$27</f>
        <v>0.17177515036399216</v>
      </c>
      <c r="H17" s="52">
        <f>'Forecasts &amp; support schedules'!H35/'Forecasts &amp; support schedules'!H$27</f>
        <v>0.19910169959349919</v>
      </c>
    </row>
    <row r="18" spans="1:8" x14ac:dyDescent="0.3">
      <c r="B18" s="192" t="s">
        <v>350</v>
      </c>
      <c r="D18" s="52">
        <f>'Forecasts &amp; support schedules'!D37/'Forecasts &amp; support schedules'!D$27</f>
        <v>8.9662631018719643E-3</v>
      </c>
      <c r="E18" s="52">
        <f>'Forecasts &amp; support schedules'!E37/'Forecasts &amp; support schedules'!E$27</f>
        <v>1.5253601989322022E-2</v>
      </c>
      <c r="F18" s="52">
        <f>'Forecasts &amp; support schedules'!F37/'Forecasts &amp; support schedules'!F$27</f>
        <v>2.0402126236810193E-2</v>
      </c>
      <c r="G18" s="52">
        <f>'Forecasts &amp; support schedules'!G37/'Forecasts &amp; support schedules'!G$27</f>
        <v>3.7474608800761949E-2</v>
      </c>
      <c r="H18" s="52">
        <f>'Forecasts &amp; support schedules'!H37/'Forecasts &amp; support schedules'!H$27</f>
        <v>3.2445247930827655E-2</v>
      </c>
    </row>
    <row r="19" spans="1:8" x14ac:dyDescent="0.3">
      <c r="B19" s="265" t="s">
        <v>351</v>
      </c>
      <c r="C19" s="266"/>
      <c r="D19" s="267">
        <f>D16-D17-D18</f>
        <v>0.16007543924001996</v>
      </c>
      <c r="E19" s="267">
        <f t="shared" ref="E19:H19" si="3">E16-E17-E18</f>
        <v>0.13195167507534308</v>
      </c>
      <c r="F19" s="267">
        <f t="shared" si="3"/>
        <v>0.15267974184535293</v>
      </c>
      <c r="G19" s="267">
        <f t="shared" si="3"/>
        <v>0.16435431914432777</v>
      </c>
      <c r="H19" s="267">
        <f t="shared" si="3"/>
        <v>9.1240024635170863E-2</v>
      </c>
    </row>
    <row r="20" spans="1:8" x14ac:dyDescent="0.3">
      <c r="B20" s="192" t="s">
        <v>352</v>
      </c>
      <c r="D20" s="52">
        <f>'Forecasts &amp; support schedules'!D39/'Forecasts &amp; support schedules'!D$27</f>
        <v>-5.5494840310214219E-2</v>
      </c>
      <c r="E20" s="52">
        <f>'Forecasts &amp; support schedules'!E39/'Forecasts &amp; support schedules'!E$27</f>
        <v>-6.6095459247108482E-2</v>
      </c>
      <c r="F20" s="52">
        <f>'Forecasts &amp; support schedules'!F39/'Forecasts &amp; support schedules'!F$27</f>
        <v>-4.3675692217021229E-2</v>
      </c>
      <c r="G20" s="52">
        <f>'Forecasts &amp; support schedules'!G39/'Forecasts &amp; support schedules'!G$27</f>
        <v>-7.8565588746114787E-2</v>
      </c>
      <c r="H20" s="52">
        <f>'Forecasts &amp; support schedules'!H39/'Forecasts &amp; support schedules'!H$27</f>
        <v>-7.2743227346678777E-2</v>
      </c>
    </row>
    <row r="21" spans="1:8" x14ac:dyDescent="0.3">
      <c r="B21" s="265" t="s">
        <v>353</v>
      </c>
      <c r="C21" s="266"/>
      <c r="D21" s="267">
        <f>D19+D20</f>
        <v>0.10458059892980574</v>
      </c>
      <c r="E21" s="267">
        <f t="shared" ref="E21:H21" si="4">E19+E20</f>
        <v>6.5856215828234602E-2</v>
      </c>
      <c r="F21" s="267">
        <f t="shared" si="4"/>
        <v>0.10900404962833171</v>
      </c>
      <c r="G21" s="267">
        <f t="shared" si="4"/>
        <v>8.5788730398212984E-2</v>
      </c>
      <c r="H21" s="267">
        <f t="shared" si="4"/>
        <v>1.8496797288492087E-2</v>
      </c>
    </row>
    <row r="22" spans="1:8" x14ac:dyDescent="0.3">
      <c r="B22" s="39" t="s">
        <v>354</v>
      </c>
    </row>
    <row r="23" spans="1:8" x14ac:dyDescent="0.3">
      <c r="B23" s="39" t="s">
        <v>355</v>
      </c>
      <c r="D23" s="52">
        <f>'Forecasts &amp; support schedules'!D42/'Forecasts &amp; support schedules'!D$27</f>
        <v>0.13754574678448189</v>
      </c>
      <c r="E23" s="52">
        <f>'Forecasts &amp; support schedules'!E42/'Forecasts &amp; support schedules'!E$27</f>
        <v>0.10587406358725747</v>
      </c>
      <c r="F23" s="52">
        <f>'Forecasts &amp; support schedules'!F42/'Forecasts &amp; support schedules'!F$27</f>
        <v>0.13709863880042161</v>
      </c>
      <c r="G23" s="52">
        <f>'Forecasts &amp; support schedules'!G42/'Forecasts &amp; support schedules'!G$27</f>
        <v>0.13033611824651117</v>
      </c>
      <c r="H23" s="52">
        <f>'Forecasts &amp; support schedules'!H42/'Forecasts &amp; support schedules'!H$27</f>
        <v>0.15839751526015924</v>
      </c>
    </row>
    <row r="24" spans="1:8" x14ac:dyDescent="0.3">
      <c r="B24" s="39" t="s">
        <v>356</v>
      </c>
      <c r="E24" s="52"/>
    </row>
    <row r="25" spans="1:8" x14ac:dyDescent="0.3">
      <c r="B25" s="268" t="s">
        <v>357</v>
      </c>
      <c r="C25" s="269"/>
      <c r="D25" s="270">
        <f>D23</f>
        <v>0.13754574678448189</v>
      </c>
      <c r="E25" s="270">
        <f t="shared" ref="E25:H25" si="5">E23</f>
        <v>0.10587406358725747</v>
      </c>
      <c r="F25" s="270">
        <f t="shared" si="5"/>
        <v>0.13709863880042161</v>
      </c>
      <c r="G25" s="270">
        <f t="shared" si="5"/>
        <v>0.13033611824651117</v>
      </c>
      <c r="H25" s="270">
        <f t="shared" si="5"/>
        <v>0.15839751526015924</v>
      </c>
    </row>
    <row r="27" spans="1:8" ht="14.4" customHeight="1" x14ac:dyDescent="0.3">
      <c r="A27" s="238"/>
      <c r="B27" s="361" t="s">
        <v>465</v>
      </c>
      <c r="C27" s="54"/>
      <c r="D27" s="239">
        <v>2020</v>
      </c>
      <c r="E27" s="239">
        <f>D27+1</f>
        <v>2021</v>
      </c>
      <c r="F27" s="239">
        <f t="shared" ref="F27:H27" si="6">E27+1</f>
        <v>2022</v>
      </c>
      <c r="G27" s="239">
        <f t="shared" si="6"/>
        <v>2023</v>
      </c>
      <c r="H27" s="239">
        <f t="shared" si="6"/>
        <v>2024</v>
      </c>
    </row>
    <row r="28" spans="1:8" ht="15" customHeight="1" thickBot="1" x14ac:dyDescent="0.35">
      <c r="A28" s="238"/>
      <c r="B28" s="362"/>
      <c r="C28" s="54"/>
      <c r="D28" s="240" t="s">
        <v>426</v>
      </c>
      <c r="E28" s="240" t="s">
        <v>426</v>
      </c>
      <c r="F28" s="240" t="s">
        <v>426</v>
      </c>
      <c r="G28" s="240" t="s">
        <v>426</v>
      </c>
      <c r="H28" s="240" t="s">
        <v>426</v>
      </c>
    </row>
    <row r="29" spans="1:8" ht="15" thickTop="1" x14ac:dyDescent="0.3"/>
    <row r="30" spans="1:8" x14ac:dyDescent="0.3">
      <c r="B30" s="41" t="str">
        <f>'Forecasts &amp; support schedules'!B50</f>
        <v>Non - current assets</v>
      </c>
      <c r="C30" s="77"/>
      <c r="D30" s="77"/>
      <c r="E30" s="77"/>
      <c r="F30" s="77"/>
      <c r="G30" s="77"/>
      <c r="H30" s="77"/>
    </row>
    <row r="31" spans="1:8" x14ac:dyDescent="0.3">
      <c r="B31" s="299" t="str">
        <f>'Forecasts &amp; support schedules'!B51</f>
        <v>( a ) Property , Plant and Equipment</v>
      </c>
      <c r="C31" s="299"/>
      <c r="D31" s="299">
        <f>'Forecasts &amp; support schedules'!D51/'Forecasts &amp; support schedules'!D$67</f>
        <v>0.43028827843139972</v>
      </c>
      <c r="E31" s="299">
        <f>'Forecasts &amp; support schedules'!E51/'Forecasts &amp; support schedules'!E$67</f>
        <v>0.37923821988341921</v>
      </c>
      <c r="F31" s="299">
        <f>'Forecasts &amp; support schedules'!F51/'Forecasts &amp; support schedules'!F$67</f>
        <v>0.49496549050874172</v>
      </c>
      <c r="G31" s="299">
        <f>'Forecasts &amp; support schedules'!G51/'Forecasts &amp; support schedules'!G$67</f>
        <v>0.51036294086424949</v>
      </c>
      <c r="H31" s="299">
        <f>'Forecasts &amp; support schedules'!H51/'Forecasts &amp; support schedules'!H$67</f>
        <v>0.53641458458180313</v>
      </c>
    </row>
    <row r="32" spans="1:8" x14ac:dyDescent="0.3">
      <c r="B32" s="299" t="str">
        <f>'Forecasts &amp; support schedules'!B52</f>
        <v>( b ) Capital work - in - progress</v>
      </c>
      <c r="C32" s="299"/>
      <c r="D32" s="299">
        <f>'Forecasts &amp; support schedules'!D52/'Forecasts &amp; support schedules'!D$67</f>
        <v>6.880976947420174E-2</v>
      </c>
      <c r="E32" s="299">
        <f>'Forecasts &amp; support schedules'!E52/'Forecasts &amp; support schedules'!E$67</f>
        <v>6.7392891200824562E-2</v>
      </c>
      <c r="F32" s="299">
        <f>'Forecasts &amp; support schedules'!F52/'Forecasts &amp; support schedules'!F$67</f>
        <v>6.6360732111922074E-2</v>
      </c>
      <c r="G32" s="299">
        <f>'Forecasts &amp; support schedules'!G52/'Forecasts &amp; support schedules'!G$67</f>
        <v>8.3536797408349656E-2</v>
      </c>
      <c r="H32" s="299">
        <f>'Forecasts &amp; support schedules'!H52/'Forecasts &amp; support schedules'!H$67</f>
        <v>7.9842918791157652E-2</v>
      </c>
    </row>
    <row r="33" spans="2:8" x14ac:dyDescent="0.3">
      <c r="B33" s="299" t="str">
        <f>'Forecasts &amp; support schedules'!B53</f>
        <v>( c ) Investment Property</v>
      </c>
      <c r="C33" s="299"/>
      <c r="D33" s="299">
        <f>'Forecasts &amp; support schedules'!D53/'Forecasts &amp; support schedules'!D$67</f>
        <v>1.3849552313221475E-5</v>
      </c>
      <c r="E33" s="299">
        <f>'Forecasts &amp; support schedules'!E53/'Forecasts &amp; support schedules'!E$67</f>
        <v>1.0579019989813915E-5</v>
      </c>
      <c r="F33" s="299">
        <f>'Forecasts &amp; support schedules'!F53/'Forecasts &amp; support schedules'!F$67</f>
        <v>1.1022461940357458E-5</v>
      </c>
      <c r="G33" s="299">
        <f>'Forecasts &amp; support schedules'!G53/'Forecasts &amp; support schedules'!G$67</f>
        <v>7.3210461774987643E-6</v>
      </c>
      <c r="H33" s="299">
        <f>'Forecasts &amp; support schedules'!H53/'Forecasts &amp; support schedules'!H$67</f>
        <v>6.6957037017197915E-6</v>
      </c>
    </row>
    <row r="34" spans="2:8" x14ac:dyDescent="0.3">
      <c r="B34" s="299" t="str">
        <f>'Forecasts &amp; support schedules'!B54</f>
        <v>( d ) Goodwill</v>
      </c>
      <c r="C34" s="299"/>
      <c r="D34" s="299">
        <f>'Forecasts &amp; support schedules'!D54/'Forecasts &amp; support schedules'!D$67</f>
        <v>0</v>
      </c>
      <c r="E34" s="299">
        <f>'Forecasts &amp; support schedules'!E54/'Forecasts &amp; support schedules'!E$67</f>
        <v>0</v>
      </c>
      <c r="F34" s="299">
        <f>'Forecasts &amp; support schedules'!F54/'Forecasts &amp; support schedules'!F$67</f>
        <v>0</v>
      </c>
      <c r="G34" s="299">
        <f>'Forecasts &amp; support schedules'!G54/'Forecasts &amp; support schedules'!G$67</f>
        <v>0</v>
      </c>
      <c r="H34" s="299">
        <f>'Forecasts &amp; support schedules'!H54/'Forecasts &amp; support schedules'!H$67</f>
        <v>0</v>
      </c>
    </row>
    <row r="35" spans="2:8" x14ac:dyDescent="0.3">
      <c r="B35" s="299" t="str">
        <f>'Forecasts &amp; support schedules'!B55</f>
        <v>( e ) Other Intangible assets</v>
      </c>
      <c r="C35" s="299"/>
      <c r="D35" s="299">
        <f>'Forecasts &amp; support schedules'!D55/'Forecasts &amp; support schedules'!D$67</f>
        <v>2.8834767916127112E-2</v>
      </c>
      <c r="E35" s="299">
        <f>'Forecasts &amp; support schedules'!E55/'Forecasts &amp; support schedules'!E$67</f>
        <v>2.5060187067299192E-2</v>
      </c>
      <c r="F35" s="299">
        <f>'Forecasts &amp; support schedules'!F55/'Forecasts &amp; support schedules'!F$67</f>
        <v>4.9323680106109567E-2</v>
      </c>
      <c r="G35" s="299">
        <f>'Forecasts &amp; support schedules'!G55/'Forecasts &amp; support schedules'!G$67</f>
        <v>4.5152552299723633E-2</v>
      </c>
      <c r="H35" s="299">
        <f>'Forecasts &amp; support schedules'!H55/'Forecasts &amp; support schedules'!H$67</f>
        <v>3.5932493915279258E-2</v>
      </c>
    </row>
    <row r="36" spans="2:8" x14ac:dyDescent="0.3">
      <c r="B36" s="299" t="str">
        <f>'Forecasts &amp; support schedules'!B56</f>
        <v>( f ) Intangible Assets under Development</v>
      </c>
      <c r="C36" s="299"/>
      <c r="D36" s="299">
        <f>'Forecasts &amp; support schedules'!D56/'Forecasts &amp; support schedules'!D$67</f>
        <v>8.3999265973727394E-2</v>
      </c>
      <c r="E36" s="299">
        <f>'Forecasts &amp; support schedules'!E56/'Forecasts &amp; support schedules'!E$67</f>
        <v>8.4648784092781024E-2</v>
      </c>
      <c r="F36" s="299">
        <f>'Forecasts &amp; support schedules'!F56/'Forecasts &amp; support schedules'!F$67</f>
        <v>9.0698328076231349E-2</v>
      </c>
      <c r="G36" s="299">
        <f>'Forecasts &amp; support schedules'!G56/'Forecasts &amp; support schedules'!G$67</f>
        <v>8.0037337335505249E-2</v>
      </c>
      <c r="H36" s="299">
        <f>'Forecasts &amp; support schedules'!H56/'Forecasts &amp; support schedules'!H$67</f>
        <v>9.6220610045564259E-2</v>
      </c>
    </row>
    <row r="37" spans="2:8" x14ac:dyDescent="0.3">
      <c r="B37" s="299" t="str">
        <f>'Forecasts &amp; support schedules'!B57</f>
        <v>( g ) Investments accounted for using the Equity Method</v>
      </c>
      <c r="C37" s="299"/>
      <c r="D37" s="299">
        <f>'Forecasts &amp; support schedules'!D57/'Forecasts &amp; support schedules'!D$67</f>
        <v>3.2873643609470322E-2</v>
      </c>
      <c r="E37" s="299">
        <f>'Forecasts &amp; support schedules'!E57/'Forecasts &amp; support schedules'!E$67</f>
        <v>3.5200933371820814E-2</v>
      </c>
      <c r="F37" s="299">
        <f>'Forecasts &amp; support schedules'!F57/'Forecasts &amp; support schedules'!F$67</f>
        <v>3.6875646421465874E-2</v>
      </c>
      <c r="G37" s="299">
        <f>'Forecasts &amp; support schedules'!G57/'Forecasts &amp; support schedules'!G$67</f>
        <v>2.7741274228087195E-2</v>
      </c>
      <c r="H37" s="299">
        <f>'Forecasts &amp; support schedules'!H57/'Forecasts &amp; support schedules'!H$67</f>
        <v>2.7010468732737637E-2</v>
      </c>
    </row>
    <row r="38" spans="2:8" x14ac:dyDescent="0.3">
      <c r="B38" s="299" t="str">
        <f>'Forecasts &amp; support schedules'!B58</f>
        <v>( h ) Financial Assets</v>
      </c>
      <c r="C38" s="299"/>
      <c r="D38" s="299">
        <f>'Forecasts &amp; support schedules'!D58/'Forecasts &amp; support schedules'!D$67</f>
        <v>0</v>
      </c>
      <c r="E38" s="299">
        <f>'Forecasts &amp; support schedules'!E58/'Forecasts &amp; support schedules'!E$67</f>
        <v>0</v>
      </c>
      <c r="F38" s="299">
        <f>'Forecasts &amp; support schedules'!F58/'Forecasts &amp; support schedules'!F$67</f>
        <v>0</v>
      </c>
      <c r="G38" s="299">
        <f>'Forecasts &amp; support schedules'!G58/'Forecasts &amp; support schedules'!G$67</f>
        <v>0</v>
      </c>
      <c r="H38" s="299">
        <f>'Forecasts &amp; support schedules'!H58/'Forecasts &amp; support schedules'!H$67</f>
        <v>0</v>
      </c>
    </row>
    <row r="39" spans="2:8" x14ac:dyDescent="0.3">
      <c r="B39" s="299" t="str">
        <f>'Forecasts &amp; support schedules'!B59</f>
        <v>( i ) Investments</v>
      </c>
      <c r="C39" s="299"/>
      <c r="D39" s="299">
        <f>'Forecasts &amp; support schedules'!D59/'Forecasts &amp; support schedules'!D$67</f>
        <v>0.19320991073963534</v>
      </c>
      <c r="E39" s="299">
        <f>'Forecasts &amp; support schedules'!E59/'Forecasts &amp; support schedules'!E$67</f>
        <v>0.20237665240514019</v>
      </c>
      <c r="F39" s="299">
        <f>'Forecasts &amp; support schedules'!F59/'Forecasts &amp; support schedules'!F$67</f>
        <v>8.2532520855416527E-2</v>
      </c>
      <c r="G39" s="299">
        <f>'Forecasts &amp; support schedules'!G59/'Forecasts &amp; support schedules'!G$67</f>
        <v>9.7124659113787357E-2</v>
      </c>
      <c r="H39" s="299">
        <f>'Forecasts &amp; support schedules'!H59/'Forecasts &amp; support schedules'!H$67</f>
        <v>9.7357205748931197E-2</v>
      </c>
    </row>
    <row r="40" spans="2:8" x14ac:dyDescent="0.3">
      <c r="B40" s="299" t="str">
        <f>'Forecasts &amp; support schedules'!B60</f>
        <v>( ii ) Trade Receivables</v>
      </c>
      <c r="C40" s="299"/>
      <c r="D40" s="299">
        <f>'Forecasts &amp; support schedules'!D60/'Forecasts &amp; support schedules'!D$67</f>
        <v>0</v>
      </c>
      <c r="E40" s="299">
        <f>'Forecasts &amp; support schedules'!E60/'Forecasts &amp; support schedules'!E$67</f>
        <v>0</v>
      </c>
      <c r="F40" s="299">
        <f>'Forecasts &amp; support schedules'!F60/'Forecasts &amp; support schedules'!F$67</f>
        <v>0</v>
      </c>
      <c r="G40" s="299">
        <f>'Forecasts &amp; support schedules'!G60/'Forecasts &amp; support schedules'!G$67</f>
        <v>0</v>
      </c>
      <c r="H40" s="299">
        <f>'Forecasts &amp; support schedules'!H60/'Forecasts &amp; support schedules'!H$67</f>
        <v>0</v>
      </c>
    </row>
    <row r="41" spans="2:8" x14ac:dyDescent="0.3">
      <c r="B41" s="299" t="str">
        <f>'Forecasts &amp; support schedules'!B61</f>
        <v>( iii ) Contract Assets</v>
      </c>
      <c r="C41" s="299"/>
      <c r="D41" s="299">
        <f>'Forecasts &amp; support schedules'!D61/'Forecasts &amp; support schedules'!D$67</f>
        <v>0</v>
      </c>
      <c r="E41" s="299">
        <f>'Forecasts &amp; support schedules'!E61/'Forecasts &amp; support schedules'!E$67</f>
        <v>0</v>
      </c>
      <c r="F41" s="299">
        <f>'Forecasts &amp; support schedules'!F61/'Forecasts &amp; support schedules'!F$67</f>
        <v>0</v>
      </c>
      <c r="G41" s="299">
        <f>'Forecasts &amp; support schedules'!G61/'Forecasts &amp; support schedules'!G$67</f>
        <v>0</v>
      </c>
      <c r="H41" s="299">
        <f>'Forecasts &amp; support schedules'!H61/'Forecasts &amp; support schedules'!H$67</f>
        <v>0</v>
      </c>
    </row>
    <row r="42" spans="2:8" x14ac:dyDescent="0.3">
      <c r="B42" s="299" t="str">
        <f>'Forecasts &amp; support schedules'!B62</f>
        <v>( iv ) Loans</v>
      </c>
      <c r="C42" s="299"/>
      <c r="D42" s="299">
        <f>'Forecasts &amp; support schedules'!D62/'Forecasts &amp; support schedules'!D$67</f>
        <v>1.2741588128163757E-3</v>
      </c>
      <c r="E42" s="299">
        <f>'Forecasts &amp; support schedules'!E62/'Forecasts &amp; support schedules'!E$67</f>
        <v>1.1002180789406472E-3</v>
      </c>
      <c r="F42" s="299">
        <f>'Forecasts &amp; support schedules'!F62/'Forecasts &amp; support schedules'!F$67</f>
        <v>1.2051225054790821E-3</v>
      </c>
      <c r="G42" s="299">
        <f>'Forecasts &amp; support schedules'!G62/'Forecasts &amp; support schedules'!G$67</f>
        <v>1.2866738656954078E-3</v>
      </c>
      <c r="H42" s="299">
        <f>'Forecasts &amp; support schedules'!H62/'Forecasts &amp; support schedules'!H$67</f>
        <v>1.1098128885600553E-3</v>
      </c>
    </row>
    <row r="43" spans="2:8" x14ac:dyDescent="0.3">
      <c r="B43" s="299" t="str">
        <f>'Forecasts &amp; support schedules'!B63</f>
        <v>( v ) Other Financial Assets</v>
      </c>
      <c r="C43" s="299"/>
      <c r="D43" s="299">
        <f>'Forecasts &amp; support schedules'!D63/'Forecasts &amp; support schedules'!D$67</f>
        <v>4.9702580864073569E-3</v>
      </c>
      <c r="E43" s="299">
        <f>'Forecasts &amp; support schedules'!E63/'Forecasts &amp; support schedules'!E$67</f>
        <v>3.6527844736257476E-3</v>
      </c>
      <c r="F43" s="299">
        <f>'Forecasts &amp; support schedules'!F63/'Forecasts &amp; support schedules'!F$67</f>
        <v>3.7568224446718336E-3</v>
      </c>
      <c r="G43" s="299">
        <f>'Forecasts &amp; support schedules'!G63/'Forecasts &amp; support schedules'!G$67</f>
        <v>3.4463824880575436E-3</v>
      </c>
      <c r="H43" s="299">
        <f>'Forecasts &amp; support schedules'!H63/'Forecasts &amp; support schedules'!H$67</f>
        <v>4.0425311099133244E-3</v>
      </c>
    </row>
    <row r="44" spans="2:8" x14ac:dyDescent="0.3">
      <c r="B44" s="299" t="str">
        <f>'Forecasts &amp; support schedules'!B64</f>
        <v>( i ) Deferred tax Assets ( Net )</v>
      </c>
      <c r="C44" s="299"/>
      <c r="D44" s="299">
        <f>'Forecasts &amp; support schedules'!D64/'Forecasts &amp; support schedules'!D$67</f>
        <v>8.0233918938570306E-2</v>
      </c>
      <c r="E44" s="299">
        <f>'Forecasts &amp; support schedules'!E64/'Forecasts &amp; support schedules'!E$67</f>
        <v>9.3841952463929318E-2</v>
      </c>
      <c r="F44" s="299">
        <f>'Forecasts &amp; support schedules'!F64/'Forecasts &amp; support schedules'!F$67</f>
        <v>9.2537242143280976E-2</v>
      </c>
      <c r="G44" s="299">
        <f>'Forecasts &amp; support schedules'!G64/'Forecasts &amp; support schedules'!G$67</f>
        <v>0.10518147043212475</v>
      </c>
      <c r="H44" s="299">
        <f>'Forecasts &amp; support schedules'!H64/'Forecasts &amp; support schedules'!H$67</f>
        <v>8.9528254195695336E-2</v>
      </c>
    </row>
    <row r="45" spans="2:8" x14ac:dyDescent="0.3">
      <c r="B45" s="299" t="str">
        <f>'Forecasts &amp; support schedules'!B65</f>
        <v>( j ) Inventories</v>
      </c>
      <c r="C45" s="299"/>
      <c r="D45" s="299">
        <f>'Forecasts &amp; support schedules'!D65/'Forecasts &amp; support schedules'!D$67</f>
        <v>6.8174421261832712E-3</v>
      </c>
      <c r="E45" s="299">
        <f>'Forecasts &amp; support schedules'!E65/'Forecasts &amp; support schedules'!E$67</f>
        <v>4.1318629503073207E-3</v>
      </c>
      <c r="F45" s="299">
        <f>'Forecasts &amp; support schedules'!F65/'Forecasts &amp; support schedules'!F$67</f>
        <v>1.0783641931649713E-3</v>
      </c>
      <c r="G45" s="299">
        <f>'Forecasts &amp; support schedules'!G65/'Forecasts &amp; support schedules'!G$67</f>
        <v>0</v>
      </c>
      <c r="H45" s="299">
        <f>'Forecasts &amp; support schedules'!H65/'Forecasts &amp; support schedules'!H$67</f>
        <v>0</v>
      </c>
    </row>
    <row r="46" spans="2:8" x14ac:dyDescent="0.3">
      <c r="B46" s="299" t="str">
        <f>'Forecasts &amp; support schedules'!B66</f>
        <v>( k ) Other Non - Current Assets</v>
      </c>
      <c r="C46" s="299"/>
      <c r="D46" s="299">
        <f>'Forecasts &amp; support schedules'!D66/'Forecasts &amp; support schedules'!D$67</f>
        <v>6.8674736339147835E-2</v>
      </c>
      <c r="E46" s="299">
        <f>'Forecasts &amp; support schedules'!E66/'Forecasts &amp; support schedules'!E$67</f>
        <v>0.10334493499192217</v>
      </c>
      <c r="F46" s="299">
        <f>'Forecasts &amp; support schedules'!F66/'Forecasts &amp; support schedules'!F$67</f>
        <v>8.0655028171575646E-2</v>
      </c>
      <c r="G46" s="299">
        <f>'Forecasts &amp; support schedules'!G66/'Forecasts &amp; support schedules'!G$67</f>
        <v>4.6122590918242216E-2</v>
      </c>
      <c r="H46" s="299">
        <f>'Forecasts &amp; support schedules'!H66/'Forecasts &amp; support schedules'!H$67</f>
        <v>3.2534424286656469E-2</v>
      </c>
    </row>
    <row r="47" spans="2:8" x14ac:dyDescent="0.3">
      <c r="B47" s="265" t="str">
        <f>'Forecasts &amp; support schedules'!B67</f>
        <v>Total non - current assets</v>
      </c>
      <c r="C47" s="266"/>
      <c r="D47" s="267">
        <f>SUM(D31:D46)</f>
        <v>1</v>
      </c>
      <c r="E47" s="267">
        <f t="shared" ref="E47:H47" si="7">SUM(E31:E46)</f>
        <v>1</v>
      </c>
      <c r="F47" s="267">
        <f t="shared" si="7"/>
        <v>1</v>
      </c>
      <c r="G47" s="267">
        <f t="shared" si="7"/>
        <v>0.99999999999999978</v>
      </c>
      <c r="H47" s="267">
        <f t="shared" si="7"/>
        <v>1.0000000000000002</v>
      </c>
    </row>
    <row r="48" spans="2:8" x14ac:dyDescent="0.3">
      <c r="B48" s="39"/>
    </row>
    <row r="49" spans="2:8" x14ac:dyDescent="0.3">
      <c r="B49" s="41" t="str">
        <f>'Forecasts &amp; support schedules'!B69</f>
        <v>Current assets</v>
      </c>
      <c r="C49" s="77"/>
      <c r="D49" s="77"/>
      <c r="E49" s="77"/>
      <c r="F49" s="77"/>
      <c r="G49" s="77"/>
      <c r="H49" s="77"/>
    </row>
    <row r="50" spans="2:8" x14ac:dyDescent="0.3">
      <c r="B50" s="299" t="str">
        <f>'Forecasts &amp; support schedules'!B70</f>
        <v>( a ) Inventories</v>
      </c>
      <c r="C50" s="299"/>
      <c r="D50" s="299">
        <f>'Forecasts &amp; support schedules'!D70/'Forecasts &amp; support schedules'!D$81</f>
        <v>0.20950175239137853</v>
      </c>
      <c r="E50" s="299">
        <f>'Forecasts &amp; support schedules'!E70/'Forecasts &amp; support schedules'!E$81</f>
        <v>0.20487870648585332</v>
      </c>
      <c r="F50" s="299">
        <f>'Forecasts &amp; support schedules'!F70/'Forecasts &amp; support schedules'!F$81</f>
        <v>0.21459317739037945</v>
      </c>
      <c r="G50" s="299">
        <f>'Forecasts &amp; support schedules'!G70/'Forecasts &amp; support schedules'!G$81</f>
        <v>0.21862121282401012</v>
      </c>
      <c r="H50" s="299">
        <f>'Forecasts &amp; support schedules'!H70/'Forecasts &amp; support schedules'!H$81</f>
        <v>0.26160454967427738</v>
      </c>
    </row>
    <row r="51" spans="2:8" x14ac:dyDescent="0.3">
      <c r="B51" s="299" t="str">
        <f>'Forecasts &amp; support schedules'!B71</f>
        <v>( b ) Financial Assets</v>
      </c>
      <c r="C51" s="299"/>
      <c r="D51" s="299">
        <f>'Forecasts &amp; support schedules'!D71/'Forecasts &amp; support schedules'!D$81</f>
        <v>0</v>
      </c>
      <c r="E51" s="299">
        <f>'Forecasts &amp; support schedules'!E71/'Forecasts &amp; support schedules'!E$81</f>
        <v>0</v>
      </c>
      <c r="F51" s="299">
        <f>'Forecasts &amp; support schedules'!F71/'Forecasts &amp; support schedules'!F$81</f>
        <v>0</v>
      </c>
      <c r="G51" s="299">
        <f>'Forecasts &amp; support schedules'!G71/'Forecasts &amp; support schedules'!G$81</f>
        <v>0</v>
      </c>
      <c r="H51" s="299">
        <f>'Forecasts &amp; support schedules'!H71/'Forecasts &amp; support schedules'!H$81</f>
        <v>0</v>
      </c>
    </row>
    <row r="52" spans="2:8" x14ac:dyDescent="0.3">
      <c r="B52" s="299" t="str">
        <f>'Forecasts &amp; support schedules'!B72</f>
        <v>( i ) Investments</v>
      </c>
      <c r="C52" s="299"/>
      <c r="D52" s="299">
        <f>'Forecasts &amp; support schedules'!D72/'Forecasts &amp; support schedules'!D$81</f>
        <v>0</v>
      </c>
      <c r="E52" s="299">
        <f>'Forecasts &amp; support schedules'!E72/'Forecasts &amp; support schedules'!E$81</f>
        <v>0</v>
      </c>
      <c r="F52" s="299">
        <f>'Forecasts &amp; support schedules'!F72/'Forecasts &amp; support schedules'!F$81</f>
        <v>0</v>
      </c>
      <c r="G52" s="299">
        <f>'Forecasts &amp; support schedules'!G72/'Forecasts &amp; support schedules'!G$81</f>
        <v>0</v>
      </c>
      <c r="H52" s="299">
        <f>'Forecasts &amp; support schedules'!H72/'Forecasts &amp; support schedules'!H$81</f>
        <v>0</v>
      </c>
    </row>
    <row r="53" spans="2:8" x14ac:dyDescent="0.3">
      <c r="B53" s="299" t="str">
        <f>'Forecasts &amp; support schedules'!B73</f>
        <v>( ii ) Trade receivables</v>
      </c>
      <c r="C53" s="299"/>
      <c r="D53" s="299">
        <f>'Forecasts &amp; support schedules'!D73/'Forecasts &amp; support schedules'!D$81</f>
        <v>0.27672180728881796</v>
      </c>
      <c r="E53" s="299">
        <f>'Forecasts &amp; support schedules'!E73/'Forecasts &amp; support schedules'!E$81</f>
        <v>0.22379112256999872</v>
      </c>
      <c r="F53" s="299">
        <f>'Forecasts &amp; support schedules'!F73/'Forecasts &amp; support schedules'!F$81</f>
        <v>0.23407683905678098</v>
      </c>
      <c r="G53" s="299">
        <f>'Forecasts &amp; support schedules'!G73/'Forecasts &amp; support schedules'!G$81</f>
        <v>0.2170209417966367</v>
      </c>
      <c r="H53" s="299">
        <f>'Forecasts &amp; support schedules'!H73/'Forecasts &amp; support schedules'!H$81</f>
        <v>0.26152967420852902</v>
      </c>
    </row>
    <row r="54" spans="2:8" x14ac:dyDescent="0.3">
      <c r="B54" s="299" t="str">
        <f>'Forecasts &amp; support schedules'!B74</f>
        <v>( iii ) Contract Assets</v>
      </c>
      <c r="C54" s="299"/>
      <c r="D54" s="299">
        <f>'Forecasts &amp; support schedules'!D74/'Forecasts &amp; support schedules'!D$81</f>
        <v>0</v>
      </c>
      <c r="E54" s="299">
        <f>'Forecasts &amp; support schedules'!E74/'Forecasts &amp; support schedules'!E$81</f>
        <v>0</v>
      </c>
      <c r="F54" s="299">
        <f>'Forecasts &amp; support schedules'!F74/'Forecasts &amp; support schedules'!F$81</f>
        <v>0</v>
      </c>
      <c r="G54" s="299">
        <f>'Forecasts &amp; support schedules'!G74/'Forecasts &amp; support schedules'!G$81</f>
        <v>0</v>
      </c>
      <c r="H54" s="299">
        <f>'Forecasts &amp; support schedules'!H74/'Forecasts &amp; support schedules'!H$81</f>
        <v>0</v>
      </c>
    </row>
    <row r="55" spans="2:8" x14ac:dyDescent="0.3">
      <c r="B55" s="299" t="str">
        <f>'Forecasts &amp; support schedules'!B75</f>
        <v>( iv ) Cash and Cash Equivalents</v>
      </c>
      <c r="C55" s="299"/>
      <c r="D55" s="299">
        <f>'Forecasts &amp; support schedules'!D75/'Forecasts &amp; support schedules'!D$81</f>
        <v>0.12832033992723918</v>
      </c>
      <c r="E55" s="299">
        <f>'Forecasts &amp; support schedules'!E75/'Forecasts &amp; support schedules'!E$81</f>
        <v>4.7661530806914855E-2</v>
      </c>
      <c r="F55" s="299">
        <f>'Forecasts &amp; support schedules'!F75/'Forecasts &amp; support schedules'!F$81</f>
        <v>0.13131403559801835</v>
      </c>
      <c r="G55" s="299">
        <f>'Forecasts &amp; support schedules'!G75/'Forecasts &amp; support schedules'!G$81</f>
        <v>3.5414400031940838E-2</v>
      </c>
      <c r="H55" s="299">
        <f>'Forecasts &amp; support schedules'!H75/'Forecasts &amp; support schedules'!H$81</f>
        <v>2.0467395033777154E-2</v>
      </c>
    </row>
    <row r="56" spans="2:8" x14ac:dyDescent="0.3">
      <c r="B56" s="299" t="str">
        <f>'Forecasts &amp; support schedules'!B76</f>
        <v>Bank Balances other than Cash and Cash Equivalents</v>
      </c>
      <c r="C56" s="299"/>
      <c r="D56" s="299">
        <f>'Forecasts &amp; support schedules'!D76/'Forecasts &amp; support schedules'!D$81</f>
        <v>8.5642198410934622E-2</v>
      </c>
      <c r="E56" s="299">
        <f>'Forecasts &amp; support schedules'!E76/'Forecasts &amp; support schedules'!E$81</f>
        <v>0.22946239261720008</v>
      </c>
      <c r="F56" s="299">
        <f>'Forecasts &amp; support schedules'!F76/'Forecasts &amp; support schedules'!F$81</f>
        <v>0.1386423737692086</v>
      </c>
      <c r="G56" s="299">
        <f>'Forecasts &amp; support schedules'!G76/'Forecasts &amp; support schedules'!G$81</f>
        <v>0.28917816350771425</v>
      </c>
      <c r="H56" s="299">
        <f>'Forecasts &amp; support schedules'!H76/'Forecasts &amp; support schedules'!H$81</f>
        <v>0.25336165022083962</v>
      </c>
    </row>
    <row r="57" spans="2:8" x14ac:dyDescent="0.3">
      <c r="B57" s="299" t="str">
        <f>'Forecasts &amp; support schedules'!B77</f>
        <v>( vi ) Loans</v>
      </c>
      <c r="C57" s="299"/>
      <c r="D57" s="299">
        <f>'Forecasts &amp; support schedules'!D77/'Forecasts &amp; support schedules'!D$81</f>
        <v>6.4099022869434927E-5</v>
      </c>
      <c r="E57" s="299">
        <f>'Forecasts &amp; support schedules'!E77/'Forecasts &amp; support schedules'!E$81</f>
        <v>5.4224947799328125E-5</v>
      </c>
      <c r="F57" s="299">
        <f>'Forecasts &amp; support schedules'!F77/'Forecasts &amp; support schedules'!F$81</f>
        <v>5.7242241845809369E-5</v>
      </c>
      <c r="G57" s="299">
        <f>'Forecasts &amp; support schedules'!G77/'Forecasts &amp; support schedules'!G$81</f>
        <v>4.1393912100468018E-5</v>
      </c>
      <c r="H57" s="299">
        <f>'Forecasts &amp; support schedules'!H77/'Forecasts &amp; support schedules'!H$81</f>
        <v>4.2171239329528932E-5</v>
      </c>
    </row>
    <row r="58" spans="2:8" x14ac:dyDescent="0.3">
      <c r="B58" s="299" t="str">
        <f>'Forecasts &amp; support schedules'!B78</f>
        <v>( vii ) Other Financial Assets</v>
      </c>
      <c r="C58" s="299"/>
      <c r="D58" s="299">
        <f>'Forecasts &amp; support schedules'!D78/'Forecasts &amp; support schedules'!D$81</f>
        <v>2.558057057407844E-3</v>
      </c>
      <c r="E58" s="299">
        <f>'Forecasts &amp; support schedules'!E78/'Forecasts &amp; support schedules'!E$81</f>
        <v>3.7569095590156121E-3</v>
      </c>
      <c r="F58" s="299">
        <f>'Forecasts &amp; support schedules'!F78/'Forecasts &amp; support schedules'!F$81</f>
        <v>6.769893509461943E-3</v>
      </c>
      <c r="G58" s="299">
        <f>'Forecasts &amp; support schedules'!G78/'Forecasts &amp; support schedules'!G$81</f>
        <v>8.6428139875019735E-3</v>
      </c>
      <c r="H58" s="299">
        <f>'Forecasts &amp; support schedules'!H78/'Forecasts &amp; support schedules'!H$81</f>
        <v>6.9232552295205559E-3</v>
      </c>
    </row>
    <row r="59" spans="2:8" x14ac:dyDescent="0.3">
      <c r="B59" s="299" t="str">
        <f>'Forecasts &amp; support schedules'!B79</f>
        <v>( c ) Current Tax Assets ( Net )</v>
      </c>
      <c r="C59" s="299"/>
      <c r="D59" s="299">
        <f>'Forecasts &amp; support schedules'!D79/'Forecasts &amp; support schedules'!D$81</f>
        <v>5.6356535633363706E-3</v>
      </c>
      <c r="E59" s="299">
        <f>'Forecasts &amp; support schedules'!E79/'Forecasts &amp; support schedules'!E$81</f>
        <v>5.3030533408613195E-3</v>
      </c>
      <c r="F59" s="299">
        <f>'Forecasts &amp; support schedules'!F79/'Forecasts &amp; support schedules'!F$81</f>
        <v>1.3416649638209063E-2</v>
      </c>
      <c r="G59" s="299">
        <f>'Forecasts &amp; support schedules'!G79/'Forecasts &amp; support schedules'!G$81</f>
        <v>1.3199373630844983E-2</v>
      </c>
      <c r="H59" s="299">
        <f>'Forecasts &amp; support schedules'!H79/'Forecasts &amp; support schedules'!H$81</f>
        <v>1.0144621531774164E-2</v>
      </c>
    </row>
    <row r="60" spans="2:8" x14ac:dyDescent="0.3">
      <c r="B60" s="299" t="str">
        <f>'Forecasts &amp; support schedules'!B80</f>
        <v>( d ) Other Currents Assets</v>
      </c>
      <c r="C60" s="299"/>
      <c r="D60" s="299">
        <f>'Forecasts &amp; support schedules'!D80/'Forecasts &amp; support schedules'!D$81</f>
        <v>0.29155609233801605</v>
      </c>
      <c r="E60" s="299">
        <f>'Forecasts &amp; support schedules'!E80/'Forecasts &amp; support schedules'!E$81</f>
        <v>0.28509205967235673</v>
      </c>
      <c r="F60" s="299">
        <f>'Forecasts &amp; support schedules'!F80/'Forecasts &amp; support schedules'!F$81</f>
        <v>0.26112978879609583</v>
      </c>
      <c r="G60" s="299">
        <f>'Forecasts &amp; support schedules'!G80/'Forecasts &amp; support schedules'!G$81</f>
        <v>0.21788170030925069</v>
      </c>
      <c r="H60" s="299">
        <f>'Forecasts &amp; support schedules'!H80/'Forecasts &amp; support schedules'!H$81</f>
        <v>0.1859266828619526</v>
      </c>
    </row>
    <row r="61" spans="2:8" x14ac:dyDescent="0.3">
      <c r="B61" s="265" t="str">
        <f>'Forecasts &amp; support schedules'!B81</f>
        <v>Total current assets</v>
      </c>
      <c r="C61" s="266"/>
      <c r="D61" s="267">
        <f>SUM(D50:D60)</f>
        <v>1</v>
      </c>
      <c r="E61" s="267">
        <f t="shared" ref="E61:H61" si="8">SUM(E50:E60)</f>
        <v>1</v>
      </c>
      <c r="F61" s="267">
        <f t="shared" si="8"/>
        <v>1</v>
      </c>
      <c r="G61" s="267">
        <f t="shared" si="8"/>
        <v>1</v>
      </c>
      <c r="H61" s="267">
        <f t="shared" si="8"/>
        <v>0.99999999999999989</v>
      </c>
    </row>
    <row r="62" spans="2:8" x14ac:dyDescent="0.3">
      <c r="B62" s="39"/>
    </row>
    <row r="63" spans="2:8" x14ac:dyDescent="0.3">
      <c r="B63" s="39"/>
    </row>
    <row r="64" spans="2:8" x14ac:dyDescent="0.3">
      <c r="B64" s="39"/>
    </row>
    <row r="65" spans="2:8" x14ac:dyDescent="0.3">
      <c r="B65" s="41" t="str">
        <f>'Forecasts &amp; support schedules'!B86</f>
        <v>EQUITY AND LIABILITIES</v>
      </c>
      <c r="C65" s="77"/>
      <c r="D65" s="77"/>
      <c r="E65" s="77"/>
      <c r="F65" s="77"/>
      <c r="G65" s="77"/>
      <c r="H65" s="77"/>
    </row>
    <row r="66" spans="2:8" x14ac:dyDescent="0.3">
      <c r="B66" s="299" t="str">
        <f>'Forecasts &amp; support schedules'!B87</f>
        <v>Equity</v>
      </c>
      <c r="C66" s="299"/>
      <c r="D66" s="299"/>
      <c r="E66" s="299"/>
      <c r="F66" s="299"/>
      <c r="G66" s="299"/>
      <c r="H66" s="299"/>
    </row>
    <row r="67" spans="2:8" x14ac:dyDescent="0.3">
      <c r="B67" s="299" t="str">
        <f>'Forecasts &amp; support schedules'!B88</f>
        <v>( a ) Equity Share capital</v>
      </c>
      <c r="C67" s="299"/>
      <c r="D67" s="299">
        <f>'Forecasts &amp; support schedules'!D88/'Forecasts &amp; support schedules'!D$92</f>
        <v>2.2001757178834031E-2</v>
      </c>
      <c r="E67" s="299">
        <f>'Forecasts &amp; support schedules'!E88/'Forecasts &amp; support schedules'!E$92</f>
        <v>1.9806100825294843E-2</v>
      </c>
      <c r="F67" s="299">
        <f>'Forecasts &amp; support schedules'!F88/'Forecasts &amp; support schedules'!F$92</f>
        <v>5.2666617673123729E-2</v>
      </c>
      <c r="G67" s="299">
        <f>'Forecasts &amp; support schedules'!G88/'Forecasts &amp; support schedules'!G$92</f>
        <v>4.4723602410368331E-2</v>
      </c>
      <c r="H67" s="299">
        <f>'Forecasts &amp; support schedules'!H88/'Forecasts &amp; support schedules'!H$92</f>
        <v>3.6562107515544326E-2</v>
      </c>
    </row>
    <row r="68" spans="2:8" x14ac:dyDescent="0.3">
      <c r="B68" s="299" t="str">
        <f>'Forecasts &amp; support schedules'!B89</f>
        <v>( b ) Other Equity</v>
      </c>
      <c r="C68" s="299"/>
      <c r="D68" s="299">
        <f>'Forecasts &amp; support schedules'!D89/'Forecasts &amp; support schedules'!D$92</f>
        <v>0.97664469139659593</v>
      </c>
      <c r="E68" s="299">
        <f>'Forecasts &amp; support schedules'!E89/'Forecasts &amp; support schedules'!E$92</f>
        <v>0.97886568901511672</v>
      </c>
      <c r="F68" s="299">
        <f>'Forecasts &amp; support schedules'!F89/'Forecasts &amp; support schedules'!F$92</f>
        <v>0.94605450675750646</v>
      </c>
      <c r="G68" s="299">
        <f>'Forecasts &amp; support schedules'!G89/'Forecasts &amp; support schedules'!G$92</f>
        <v>0.95417999692860977</v>
      </c>
      <c r="H68" s="299">
        <f>'Forecasts &amp; support schedules'!H89/'Forecasts &amp; support schedules'!H$92</f>
        <v>0.96249055286320151</v>
      </c>
    </row>
    <row r="69" spans="2:8" x14ac:dyDescent="0.3">
      <c r="B69" s="299" t="str">
        <f>'Forecasts &amp; support schedules'!B90</f>
        <v>Equity attributable to owners of the parent</v>
      </c>
      <c r="C69" s="299"/>
      <c r="D69" s="299">
        <f>'Forecasts &amp; support schedules'!D90/'Forecasts &amp; support schedules'!D$92</f>
        <v>0.99864644857543006</v>
      </c>
      <c r="E69" s="299">
        <f>'Forecasts &amp; support schedules'!E90/'Forecasts &amp; support schedules'!E$92</f>
        <v>0.99867178984041161</v>
      </c>
      <c r="F69" s="299">
        <f>'Forecasts &amp; support schedules'!F90/'Forecasts &amp; support schedules'!F$92</f>
        <v>0.99872112443063021</v>
      </c>
      <c r="G69" s="299">
        <f>'Forecasts &amp; support schedules'!G90/'Forecasts &amp; support schedules'!G$92</f>
        <v>0.9989035993389781</v>
      </c>
      <c r="H69" s="299">
        <f>'Forecasts &amp; support schedules'!H90/'Forecasts &amp; support schedules'!H$92</f>
        <v>0.99905266037874574</v>
      </c>
    </row>
    <row r="70" spans="2:8" x14ac:dyDescent="0.3">
      <c r="B70" s="299" t="str">
        <f>'Forecasts &amp; support schedules'!B91</f>
        <v>Non - controlling interest</v>
      </c>
      <c r="C70" s="299"/>
      <c r="D70" s="299">
        <f>'Forecasts &amp; support schedules'!D91/'Forecasts &amp; support schedules'!D$92</f>
        <v>1.3535514245699833E-3</v>
      </c>
      <c r="E70" s="299">
        <f>'Forecasts &amp; support schedules'!E91/'Forecasts &amp; support schedules'!E$92</f>
        <v>1.3282101595884336E-3</v>
      </c>
      <c r="F70" s="299">
        <f>'Forecasts &amp; support schedules'!F91/'Forecasts &amp; support schedules'!F$92</f>
        <v>1.2788755693698133E-3</v>
      </c>
      <c r="G70" s="299">
        <f>'Forecasts &amp; support schedules'!G91/'Forecasts &amp; support schedules'!G$92</f>
        <v>1.0964006610219164E-3</v>
      </c>
      <c r="H70" s="299">
        <f>'Forecasts &amp; support schedules'!H91/'Forecasts &amp; support schedules'!H$92</f>
        <v>9.4733962125421968E-4</v>
      </c>
    </row>
    <row r="71" spans="2:8" x14ac:dyDescent="0.3">
      <c r="B71" s="265" t="str">
        <f>'Forecasts &amp; support schedules'!B92</f>
        <v>Total equity</v>
      </c>
      <c r="C71" s="266"/>
      <c r="D71" s="267">
        <f>D69</f>
        <v>0.99864644857543006</v>
      </c>
      <c r="E71" s="267">
        <f t="shared" ref="E71:H71" si="9">E69</f>
        <v>0.99867178984041161</v>
      </c>
      <c r="F71" s="267">
        <f t="shared" si="9"/>
        <v>0.99872112443063021</v>
      </c>
      <c r="G71" s="267">
        <f t="shared" si="9"/>
        <v>0.9989035993389781</v>
      </c>
      <c r="H71" s="267">
        <f t="shared" si="9"/>
        <v>0.99905266037874574</v>
      </c>
    </row>
    <row r="72" spans="2:8" x14ac:dyDescent="0.3">
      <c r="B72" s="39"/>
    </row>
    <row r="73" spans="2:8" x14ac:dyDescent="0.3">
      <c r="B73" s="41" t="str">
        <f>'Forecasts &amp; support schedules'!B94</f>
        <v>LIABILITIES</v>
      </c>
      <c r="C73" s="48"/>
      <c r="D73" s="48"/>
      <c r="E73" s="48"/>
      <c r="F73" s="48"/>
      <c r="G73" s="48"/>
      <c r="H73" s="48"/>
    </row>
    <row r="74" spans="2:8" x14ac:dyDescent="0.3">
      <c r="B74" s="299" t="str">
        <f>'Forecasts &amp; support schedules'!B95</f>
        <v>Non - current liabilities</v>
      </c>
      <c r="C74" s="299"/>
      <c r="D74" s="299"/>
      <c r="E74" s="299"/>
      <c r="F74" s="299"/>
      <c r="G74" s="299"/>
      <c r="H74" s="299"/>
    </row>
    <row r="75" spans="2:8" x14ac:dyDescent="0.3">
      <c r="B75" s="299" t="str">
        <f>'Forecasts &amp; support schedules'!B96</f>
        <v>( a ) Financial Liabilities</v>
      </c>
      <c r="C75" s="299"/>
      <c r="D75" s="299">
        <f>'Forecasts &amp; support schedules'!D96/'Forecasts &amp; support schedules'!D$107</f>
        <v>0</v>
      </c>
      <c r="E75" s="299">
        <f>'Forecasts &amp; support schedules'!E96/'Forecasts &amp; support schedules'!E$107</f>
        <v>0</v>
      </c>
      <c r="F75" s="299">
        <f>'Forecasts &amp; support schedules'!F96/'Forecasts &amp; support schedules'!F$107</f>
        <v>0</v>
      </c>
      <c r="G75" s="299">
        <f>'Forecasts &amp; support schedules'!G96/'Forecasts &amp; support schedules'!G$107</f>
        <v>0</v>
      </c>
      <c r="H75" s="299">
        <f>'Forecasts &amp; support schedules'!H96/'Forecasts &amp; support schedules'!H$107</f>
        <v>0</v>
      </c>
    </row>
    <row r="76" spans="2:8" x14ac:dyDescent="0.3">
      <c r="B76" s="299" t="str">
        <f>'Forecasts &amp; support schedules'!B97</f>
        <v>( i ) Borrowings</v>
      </c>
      <c r="C76" s="299"/>
      <c r="D76" s="299">
        <f>'Forecasts &amp; support schedules'!D97/'Forecasts &amp; support schedules'!D$107</f>
        <v>0</v>
      </c>
      <c r="E76" s="299">
        <f>'Forecasts &amp; support schedules'!E97/'Forecasts &amp; support schedules'!E$107</f>
        <v>0</v>
      </c>
      <c r="F76" s="299">
        <f>'Forecasts &amp; support schedules'!F97/'Forecasts &amp; support schedules'!F$107</f>
        <v>0</v>
      </c>
      <c r="G76" s="299">
        <f>'Forecasts &amp; support schedules'!G97/'Forecasts &amp; support schedules'!G$107</f>
        <v>0</v>
      </c>
      <c r="H76" s="299">
        <f>'Forecasts &amp; support schedules'!H97/'Forecasts &amp; support schedules'!H$107</f>
        <v>0</v>
      </c>
    </row>
    <row r="77" spans="2:8" x14ac:dyDescent="0.3">
      <c r="B77" s="299" t="str">
        <f>'Forecasts &amp; support schedules'!B98</f>
        <v>( ia ) Lease Liabilities</v>
      </c>
      <c r="C77" s="299"/>
      <c r="D77" s="299">
        <f>'Forecasts &amp; support schedules'!D98/'Forecasts &amp; support schedules'!D$107</f>
        <v>7.3791428841726847E-4</v>
      </c>
      <c r="E77" s="299">
        <f>'Forecasts &amp; support schedules'!E98/'Forecasts &amp; support schedules'!E$107</f>
        <v>2.5408554361283895E-2</v>
      </c>
      <c r="F77" s="299">
        <f>'Forecasts &amp; support schedules'!F98/'Forecasts &amp; support schedules'!F$107</f>
        <v>5.6806340283553691E-2</v>
      </c>
      <c r="G77" s="299">
        <f>'Forecasts &amp; support schedules'!G98/'Forecasts &amp; support schedules'!G$107</f>
        <v>5.2139222541451764E-2</v>
      </c>
      <c r="H77" s="299">
        <f>'Forecasts &amp; support schedules'!H98/'Forecasts &amp; support schedules'!H$107</f>
        <v>5.4017984518955536E-2</v>
      </c>
    </row>
    <row r="78" spans="2:8" x14ac:dyDescent="0.3">
      <c r="B78" s="299" t="str">
        <f>'Forecasts &amp; support schedules'!B99</f>
        <v>( ii ) Trade payables</v>
      </c>
      <c r="C78" s="299"/>
      <c r="D78" s="299">
        <f>'Forecasts &amp; support schedules'!D99/'Forecasts &amp; support schedules'!D$107</f>
        <v>0</v>
      </c>
      <c r="E78" s="299">
        <f>'Forecasts &amp; support schedules'!E99/'Forecasts &amp; support schedules'!E$107</f>
        <v>0</v>
      </c>
      <c r="F78" s="299">
        <f>'Forecasts &amp; support schedules'!F99/'Forecasts &amp; support schedules'!F$107</f>
        <v>0</v>
      </c>
      <c r="G78" s="299">
        <f>'Forecasts &amp; support schedules'!G99/'Forecasts &amp; support schedules'!G$107</f>
        <v>0</v>
      </c>
      <c r="H78" s="299">
        <f>'Forecasts &amp; support schedules'!H99/'Forecasts &amp; support schedules'!H$107</f>
        <v>0</v>
      </c>
    </row>
    <row r="79" spans="2:8" x14ac:dyDescent="0.3">
      <c r="B79" s="299" t="str">
        <f>'Forecasts &amp; support schedules'!B100</f>
        <v>A ) total outstanding dues of micro enterprises and small enterprises</v>
      </c>
      <c r="C79" s="299"/>
      <c r="D79" s="299">
        <f>'Forecasts &amp; support schedules'!D100/'Forecasts &amp; support schedules'!D$107</f>
        <v>0</v>
      </c>
      <c r="E79" s="299">
        <f>'Forecasts &amp; support schedules'!E100/'Forecasts &amp; support schedules'!E$107</f>
        <v>0</v>
      </c>
      <c r="F79" s="299">
        <f>'Forecasts &amp; support schedules'!F100/'Forecasts &amp; support schedules'!F$107</f>
        <v>0</v>
      </c>
      <c r="G79" s="299">
        <f>'Forecasts &amp; support schedules'!G100/'Forecasts &amp; support schedules'!G$107</f>
        <v>0</v>
      </c>
      <c r="H79" s="299">
        <f>'Forecasts &amp; support schedules'!H100/'Forecasts &amp; support schedules'!H$107</f>
        <v>0</v>
      </c>
    </row>
    <row r="80" spans="2:8" x14ac:dyDescent="0.3">
      <c r="B80" s="299" t="str">
        <f>'Forecasts &amp; support schedules'!B101</f>
        <v>B ) total outstanding dues of creditors other than micro enterprises and small enterprises</v>
      </c>
      <c r="C80" s="299"/>
      <c r="D80" s="299">
        <f>'Forecasts &amp; support schedules'!D101/'Forecasts &amp; support schedules'!D$107</f>
        <v>1.8290183217180159E-4</v>
      </c>
      <c r="E80" s="299">
        <f>'Forecasts &amp; support schedules'!E101/'Forecasts &amp; support schedules'!E$107</f>
        <v>1.6771323010748444E-4</v>
      </c>
      <c r="F80" s="299">
        <f>'Forecasts &amp; support schedules'!F101/'Forecasts &amp; support schedules'!F$107</f>
        <v>3.5372510779055647E-4</v>
      </c>
      <c r="G80" s="299">
        <f>'Forecasts &amp; support schedules'!G101/'Forecasts &amp; support schedules'!G$107</f>
        <v>0</v>
      </c>
      <c r="H80" s="299">
        <f>'Forecasts &amp; support schedules'!H101/'Forecasts &amp; support schedules'!H$107</f>
        <v>0</v>
      </c>
    </row>
    <row r="81" spans="2:8" x14ac:dyDescent="0.3">
      <c r="B81" s="299" t="str">
        <f>'Forecasts &amp; support schedules'!B102</f>
        <v>Sub Total - Trade payables</v>
      </c>
      <c r="C81" s="299"/>
      <c r="D81" s="299">
        <f>'Forecasts &amp; support schedules'!D102/'Forecasts &amp; support schedules'!D$107</f>
        <v>0</v>
      </c>
      <c r="E81" s="299">
        <f>'Forecasts &amp; support schedules'!E102/'Forecasts &amp; support schedules'!E$107</f>
        <v>0</v>
      </c>
      <c r="F81" s="299">
        <f>'Forecasts &amp; support schedules'!F102/'Forecasts &amp; support schedules'!F$107</f>
        <v>0</v>
      </c>
      <c r="G81" s="299">
        <f>'Forecasts &amp; support schedules'!G102/'Forecasts &amp; support schedules'!G$107</f>
        <v>0</v>
      </c>
      <c r="H81" s="299">
        <f>'Forecasts &amp; support schedules'!H102/'Forecasts &amp; support schedules'!H$107</f>
        <v>0</v>
      </c>
    </row>
    <row r="82" spans="2:8" x14ac:dyDescent="0.3">
      <c r="B82" s="299" t="str">
        <f>'Forecasts &amp; support schedules'!B103</f>
        <v>( iii ) Other Financial Liabilities</v>
      </c>
      <c r="C82" s="299"/>
      <c r="D82" s="299">
        <f>'Forecasts &amp; support schedules'!D103/'Forecasts &amp; support schedules'!D$107</f>
        <v>4.2319699788716846E-3</v>
      </c>
      <c r="E82" s="299">
        <f>'Forecasts &amp; support schedules'!E103/'Forecasts &amp; support schedules'!E$107</f>
        <v>9.9740044493333395E-3</v>
      </c>
      <c r="F82" s="299">
        <f>'Forecasts &amp; support schedules'!F103/'Forecasts &amp; support schedules'!F$107</f>
        <v>4.5219452968900875E-3</v>
      </c>
      <c r="G82" s="299">
        <f>'Forecasts &amp; support schedules'!G103/'Forecasts &amp; support schedules'!G$107</f>
        <v>4.15383017757624E-3</v>
      </c>
      <c r="H82" s="299">
        <f>'Forecasts &amp; support schedules'!H103/'Forecasts &amp; support schedules'!H$107</f>
        <v>1.3410155638800172E-2</v>
      </c>
    </row>
    <row r="83" spans="2:8" x14ac:dyDescent="0.3">
      <c r="B83" s="299" t="str">
        <f>'Forecasts &amp; support schedules'!B104</f>
        <v>( b ) Provisions</v>
      </c>
      <c r="C83" s="299"/>
      <c r="D83" s="299">
        <f>'Forecasts &amp; support schedules'!D104/'Forecasts &amp; support schedules'!D$107</f>
        <v>0.890561634763962</v>
      </c>
      <c r="E83" s="299">
        <f>'Forecasts &amp; support schedules'!E104/'Forecasts &amp; support schedules'!E$107</f>
        <v>0.89051778993424657</v>
      </c>
      <c r="F83" s="299">
        <f>'Forecasts &amp; support schedules'!F104/'Forecasts &amp; support schedules'!F$107</f>
        <v>0.80749706025755008</v>
      </c>
      <c r="G83" s="299">
        <f>'Forecasts &amp; support schedules'!G104/'Forecasts &amp; support schedules'!G$107</f>
        <v>0.83706601128457203</v>
      </c>
      <c r="H83" s="299">
        <f>'Forecasts &amp; support schedules'!H104/'Forecasts &amp; support schedules'!H$107</f>
        <v>0.83034358346602366</v>
      </c>
    </row>
    <row r="84" spans="2:8" x14ac:dyDescent="0.3">
      <c r="B84" s="299" t="str">
        <f>'Forecasts &amp; support schedules'!B105</f>
        <v>( c ) Deferred Tax Liabilities ( Net )</v>
      </c>
      <c r="C84" s="299"/>
      <c r="D84" s="299">
        <f>'Forecasts &amp; support schedules'!D105/'Forecasts &amp; support schedules'!D$107</f>
        <v>2.2705055028223646E-4</v>
      </c>
      <c r="E84" s="299">
        <f>'Forecasts &amp; support schedules'!E105/'Forecasts &amp; support schedules'!E$107</f>
        <v>7.1524759898780133E-4</v>
      </c>
      <c r="F84" s="299">
        <f>'Forecasts &amp; support schedules'!F105/'Forecasts &amp; support schedules'!F$107</f>
        <v>2.7628798959856982E-3</v>
      </c>
      <c r="G84" s="299">
        <f>'Forecasts &amp; support schedules'!G105/'Forecasts &amp; support schedules'!G$107</f>
        <v>4.7336356398629239E-3</v>
      </c>
      <c r="H84" s="299">
        <f>'Forecasts &amp; support schedules'!H105/'Forecasts &amp; support schedules'!H$107</f>
        <v>8.7621607193807578E-3</v>
      </c>
    </row>
    <row r="85" spans="2:8" x14ac:dyDescent="0.3">
      <c r="B85" s="299" t="str">
        <f>'Forecasts &amp; support schedules'!B106</f>
        <v>( d ) Other Non - Current Liabilities</v>
      </c>
      <c r="C85" s="299"/>
      <c r="D85" s="299">
        <f>'Forecasts &amp; support schedules'!D106/'Forecasts &amp; support schedules'!D$107</f>
        <v>0.10405852858629498</v>
      </c>
      <c r="E85" s="299">
        <f>'Forecasts &amp; support schedules'!E106/'Forecasts &amp; support schedules'!E$107</f>
        <v>7.3216690426040926E-2</v>
      </c>
      <c r="F85" s="299">
        <f>'Forecasts &amp; support schedules'!F106/'Forecasts &amp; support schedules'!F$107</f>
        <v>0.12805804915822985</v>
      </c>
      <c r="G85" s="299">
        <f>'Forecasts &amp; support schedules'!G106/'Forecasts &amp; support schedules'!G$107</f>
        <v>0.10190730035653708</v>
      </c>
      <c r="H85" s="299">
        <f>'Forecasts &amp; support schedules'!H106/'Forecasts &amp; support schedules'!H$107</f>
        <v>9.3466115656839918E-2</v>
      </c>
    </row>
    <row r="86" spans="2:8" x14ac:dyDescent="0.3">
      <c r="B86" s="265" t="str">
        <f>'Forecasts &amp; support schedules'!B107</f>
        <v>Total non - current liabilities</v>
      </c>
      <c r="C86" s="266"/>
      <c r="D86" s="267">
        <f>SUM(D75:D85)</f>
        <v>1</v>
      </c>
      <c r="E86" s="267">
        <f t="shared" ref="E86:H86" si="10">SUM(E75:E85)</f>
        <v>1</v>
      </c>
      <c r="F86" s="267">
        <f t="shared" si="10"/>
        <v>0.99999999999999989</v>
      </c>
      <c r="G86" s="267">
        <f t="shared" si="10"/>
        <v>1</v>
      </c>
      <c r="H86" s="267">
        <f t="shared" si="10"/>
        <v>1</v>
      </c>
    </row>
    <row r="87" spans="2:8" x14ac:dyDescent="0.3">
      <c r="B87" s="39"/>
    </row>
    <row r="88" spans="2:8" x14ac:dyDescent="0.3">
      <c r="B88" s="41" t="str">
        <f>'Forecasts &amp; support schedules'!B109</f>
        <v>Current Liabilities</v>
      </c>
      <c r="C88" s="48"/>
      <c r="D88" s="48"/>
      <c r="E88" s="48"/>
      <c r="F88" s="48"/>
      <c r="G88" s="48"/>
      <c r="H88" s="48"/>
    </row>
    <row r="89" spans="2:8" x14ac:dyDescent="0.3">
      <c r="B89" s="299" t="str">
        <f>'Forecasts &amp; support schedules'!B110</f>
        <v>( a ) Financial liabilities</v>
      </c>
      <c r="C89" s="299"/>
      <c r="D89" s="299">
        <f>'Forecasts &amp; support schedules'!D110/'Forecasts &amp; support schedules'!D$122</f>
        <v>0</v>
      </c>
      <c r="E89" s="299">
        <f>'Forecasts &amp; support schedules'!E110/'Forecasts &amp; support schedules'!E$122</f>
        <v>0</v>
      </c>
      <c r="F89" s="299">
        <f>'Forecasts &amp; support schedules'!F110/'Forecasts &amp; support schedules'!F$122</f>
        <v>0</v>
      </c>
      <c r="G89" s="299">
        <f>'Forecasts &amp; support schedules'!G110/'Forecasts &amp; support schedules'!G$122</f>
        <v>0</v>
      </c>
      <c r="H89" s="299">
        <f>'Forecasts &amp; support schedules'!H110/'Forecasts &amp; support schedules'!H$122</f>
        <v>0</v>
      </c>
    </row>
    <row r="90" spans="2:8" x14ac:dyDescent="0.3">
      <c r="B90" s="299" t="str">
        <f>'Forecasts &amp; support schedules'!B111</f>
        <v>( i ) Borrowings</v>
      </c>
      <c r="C90" s="299"/>
      <c r="D90" s="299">
        <f>'Forecasts &amp; support schedules'!D111/'Forecasts &amp; support schedules'!D$122</f>
        <v>0</v>
      </c>
      <c r="E90" s="299">
        <f>'Forecasts &amp; support schedules'!E111/'Forecasts &amp; support schedules'!E$122</f>
        <v>0</v>
      </c>
      <c r="F90" s="299">
        <f>'Forecasts &amp; support schedules'!F111/'Forecasts &amp; support schedules'!F$122</f>
        <v>0</v>
      </c>
      <c r="G90" s="299">
        <f>'Forecasts &amp; support schedules'!G111/'Forecasts &amp; support schedules'!G$122</f>
        <v>0</v>
      </c>
      <c r="H90" s="299">
        <f>'Forecasts &amp; support schedules'!H111/'Forecasts &amp; support schedules'!H$122</f>
        <v>0</v>
      </c>
    </row>
    <row r="91" spans="2:8" x14ac:dyDescent="0.3">
      <c r="B91" s="299" t="str">
        <f>'Forecasts &amp; support schedules'!B112</f>
        <v>( ia ) Lease Liabilities</v>
      </c>
      <c r="C91" s="299"/>
      <c r="D91" s="299">
        <f>'Forecasts &amp; support schedules'!D112/'Forecasts &amp; support schedules'!D$122</f>
        <v>8.0216048557448067E-5</v>
      </c>
      <c r="E91" s="299">
        <f>'Forecasts &amp; support schedules'!E112/'Forecasts &amp; support schedules'!E$122</f>
        <v>6.0773074361729511E-5</v>
      </c>
      <c r="F91" s="299">
        <f>'Forecasts &amp; support schedules'!F112/'Forecasts &amp; support schedules'!F$122</f>
        <v>9.3358968150004525E-5</v>
      </c>
      <c r="G91" s="299">
        <f>'Forecasts &amp; support schedules'!G112/'Forecasts &amp; support schedules'!G$122</f>
        <v>1.0260261055544785E-4</v>
      </c>
      <c r="H91" s="299">
        <f>'Forecasts &amp; support schedules'!H112/'Forecasts &amp; support schedules'!H$122</f>
        <v>1.2859105715011841E-4</v>
      </c>
    </row>
    <row r="92" spans="2:8" x14ac:dyDescent="0.3">
      <c r="B92" s="299" t="str">
        <f>'Forecasts &amp; support schedules'!B113</f>
        <v>( ii ) Trade payables</v>
      </c>
      <c r="C92" s="299"/>
      <c r="D92" s="299">
        <f>'Forecasts &amp; support schedules'!D113/'Forecasts &amp; support schedules'!D$122</f>
        <v>0</v>
      </c>
      <c r="E92" s="299">
        <f>'Forecasts &amp; support schedules'!E113/'Forecasts &amp; support schedules'!E$122</f>
        <v>0</v>
      </c>
      <c r="F92" s="299">
        <f>'Forecasts &amp; support schedules'!F113/'Forecasts &amp; support schedules'!F$122</f>
        <v>0</v>
      </c>
      <c r="G92" s="299">
        <f>'Forecasts &amp; support schedules'!G113/'Forecasts &amp; support schedules'!G$122</f>
        <v>0</v>
      </c>
      <c r="H92" s="299">
        <f>'Forecasts &amp; support schedules'!H113/'Forecasts &amp; support schedules'!H$122</f>
        <v>0</v>
      </c>
    </row>
    <row r="93" spans="2:8" x14ac:dyDescent="0.3">
      <c r="B93" s="299" t="str">
        <f>'Forecasts &amp; support schedules'!B114</f>
        <v>A ) total outstanding dues of micro enterprises and small enterprises</v>
      </c>
      <c r="C93" s="299"/>
      <c r="D93" s="299">
        <f>'Forecasts &amp; support schedules'!D114/'Forecasts &amp; support schedules'!D$122</f>
        <v>9.1167024667920416E-3</v>
      </c>
      <c r="E93" s="299">
        <f>'Forecasts &amp; support schedules'!E114/'Forecasts &amp; support schedules'!E$122</f>
        <v>1.2687783692796705E-2</v>
      </c>
      <c r="F93" s="299">
        <f>'Forecasts &amp; support schedules'!F114/'Forecasts &amp; support schedules'!F$122</f>
        <v>1.0091520963464551E-2</v>
      </c>
      <c r="G93" s="299">
        <f>'Forecasts &amp; support schedules'!G114/'Forecasts &amp; support schedules'!G$122</f>
        <v>9.6727930110370453E-3</v>
      </c>
      <c r="H93" s="299">
        <f>'Forecasts &amp; support schedules'!H114/'Forecasts &amp; support schedules'!H$122</f>
        <v>8.9998552084947052E-3</v>
      </c>
    </row>
    <row r="94" spans="2:8" x14ac:dyDescent="0.3">
      <c r="B94" s="299" t="str">
        <f>'Forecasts &amp; support schedules'!B115</f>
        <v>B ) total outstanding dues of creditors other than micro enterprises and small enterprises</v>
      </c>
      <c r="C94" s="299"/>
      <c r="D94" s="299">
        <f>'Forecasts &amp; support schedules'!D115/'Forecasts &amp; support schedules'!D$122</f>
        <v>0.18690161055999716</v>
      </c>
      <c r="E94" s="299">
        <f>'Forecasts &amp; support schedules'!E115/'Forecasts &amp; support schedules'!E$122</f>
        <v>0.15938172844751863</v>
      </c>
      <c r="F94" s="299">
        <f>'Forecasts &amp; support schedules'!F115/'Forecasts &amp; support schedules'!F$122</f>
        <v>0.15184641671747923</v>
      </c>
      <c r="G94" s="299">
        <f>'Forecasts &amp; support schedules'!G115/'Forecasts &amp; support schedules'!G$122</f>
        <v>0.15859140235522931</v>
      </c>
      <c r="H94" s="299">
        <f>'Forecasts &amp; support schedules'!H115/'Forecasts &amp; support schedules'!H$122</f>
        <v>0.16003005183130878</v>
      </c>
    </row>
    <row r="95" spans="2:8" x14ac:dyDescent="0.3">
      <c r="B95" s="299" t="str">
        <f>'Forecasts &amp; support schedules'!B116</f>
        <v>Sub Total - Trade payables</v>
      </c>
      <c r="C95" s="299"/>
      <c r="D95" s="299">
        <f>'Forecasts &amp; support schedules'!D116/'Forecasts &amp; support schedules'!D$122</f>
        <v>0.19601831302678918</v>
      </c>
      <c r="E95" s="299">
        <f>'Forecasts &amp; support schedules'!E116/'Forecasts &amp; support schedules'!E$122</f>
        <v>0.17206951214031532</v>
      </c>
      <c r="F95" s="299">
        <f>'Forecasts &amp; support schedules'!F116/'Forecasts &amp; support schedules'!F$122</f>
        <v>0.16193793768094378</v>
      </c>
      <c r="G95" s="299">
        <f>'Forecasts &amp; support schedules'!G116/'Forecasts &amp; support schedules'!G$122</f>
        <v>0.16826419536626636</v>
      </c>
      <c r="H95" s="299">
        <f>'Forecasts &amp; support schedules'!H116/'Forecasts &amp; support schedules'!H$122</f>
        <v>0.1690299070398035</v>
      </c>
    </row>
    <row r="96" spans="2:8" x14ac:dyDescent="0.3">
      <c r="B96" s="299" t="str">
        <f>'Forecasts &amp; support schedules'!B117</f>
        <v>( iii ) Other Financial liabilities</v>
      </c>
      <c r="C96" s="299"/>
      <c r="D96" s="299">
        <f>'Forecasts &amp; support schedules'!D117/'Forecasts &amp; support schedules'!D$122</f>
        <v>5.6980133158640603E-2</v>
      </c>
      <c r="E96" s="299">
        <f>'Forecasts &amp; support schedules'!E117/'Forecasts &amp; support schedules'!E$122</f>
        <v>4.9048977990954513E-2</v>
      </c>
      <c r="F96" s="299">
        <f>'Forecasts &amp; support schedules'!F117/'Forecasts &amp; support schedules'!F$122</f>
        <v>6.2736740352177259E-2</v>
      </c>
      <c r="G96" s="299">
        <f>'Forecasts &amp; support schedules'!G117/'Forecasts &amp; support schedules'!G$122</f>
        <v>5.9797346224337432E-2</v>
      </c>
      <c r="H96" s="299">
        <f>'Forecasts &amp; support schedules'!H117/'Forecasts &amp; support schedules'!H$122</f>
        <v>6.9273116267578747E-2</v>
      </c>
    </row>
    <row r="97" spans="2:8" x14ac:dyDescent="0.3">
      <c r="B97" s="299" t="str">
        <f>'Forecasts &amp; support schedules'!B118</f>
        <v>( b ) Other Current Liabilities</v>
      </c>
      <c r="C97" s="299"/>
      <c r="D97" s="299">
        <f>'Forecasts &amp; support schedules'!D118/'Forecasts &amp; support schedules'!D$122</f>
        <v>0.72509128289229363</v>
      </c>
      <c r="E97" s="299">
        <f>'Forecasts &amp; support schedules'!E118/'Forecasts &amp; support schedules'!E$122</f>
        <v>0.75629639692273753</v>
      </c>
      <c r="F97" s="299">
        <f>'Forecasts &amp; support schedules'!F118/'Forecasts &amp; support schedules'!F$122</f>
        <v>0.74390857045052505</v>
      </c>
      <c r="G97" s="299">
        <f>'Forecasts &amp; support schedules'!G118/'Forecasts &amp; support schedules'!G$122</f>
        <v>0.73954872103121982</v>
      </c>
      <c r="H97" s="299">
        <f>'Forecasts &amp; support schedules'!H118/'Forecasts &amp; support schedules'!H$122</f>
        <v>0.72330039579719874</v>
      </c>
    </row>
    <row r="98" spans="2:8" x14ac:dyDescent="0.3">
      <c r="B98" s="299" t="str">
        <f>'Forecasts &amp; support schedules'!B119</f>
        <v>( c ) Provisions</v>
      </c>
      <c r="C98" s="299"/>
      <c r="D98" s="299">
        <f>'Forecasts &amp; support schedules'!D119/'Forecasts &amp; support schedules'!D$122</f>
        <v>2.0813390732372525E-2</v>
      </c>
      <c r="E98" s="299">
        <f>'Forecasts &amp; support schedules'!E119/'Forecasts &amp; support schedules'!E$122</f>
        <v>2.1644407038645546E-2</v>
      </c>
      <c r="F98" s="299">
        <f>'Forecasts &amp; support schedules'!F119/'Forecasts &amp; support schedules'!F$122</f>
        <v>3.0513795246278039E-2</v>
      </c>
      <c r="G98" s="299">
        <f>'Forecasts &amp; support schedules'!G119/'Forecasts &amp; support schedules'!G$122</f>
        <v>3.1531235004015577E-2</v>
      </c>
      <c r="H98" s="299">
        <f>'Forecasts &amp; support schedules'!H119/'Forecasts &amp; support schedules'!H$122</f>
        <v>3.7448854678942559E-2</v>
      </c>
    </row>
    <row r="99" spans="2:8" x14ac:dyDescent="0.3">
      <c r="B99" s="299" t="str">
        <f>'Forecasts &amp; support schedules'!B120</f>
        <v>( d ) Current tax liabilities ( Net )</v>
      </c>
      <c r="C99" s="299"/>
      <c r="D99" s="299">
        <f>'Forecasts &amp; support schedules'!D120/'Forecasts &amp; support schedules'!D$122</f>
        <v>0</v>
      </c>
      <c r="E99" s="299">
        <f>'Forecasts &amp; support schedules'!E120/'Forecasts &amp; support schedules'!E$122</f>
        <v>3.5238169167725513E-5</v>
      </c>
      <c r="F99" s="299">
        <f>'Forecasts &amp; support schedules'!F120/'Forecasts &amp; support schedules'!F$122</f>
        <v>0</v>
      </c>
      <c r="G99" s="299">
        <f>'Forecasts &amp; support schedules'!G120/'Forecasts &amp; support schedules'!G$122</f>
        <v>1.2711827856427167E-5</v>
      </c>
      <c r="H99" s="299">
        <f>'Forecasts &amp; support schedules'!H120/'Forecasts &amp; support schedules'!H$122</f>
        <v>0</v>
      </c>
    </row>
    <row r="100" spans="2:8" x14ac:dyDescent="0.3">
      <c r="B100" s="299" t="str">
        <f>'Forecasts &amp; support schedules'!B121</f>
        <v>( e ) Deferred Income</v>
      </c>
      <c r="C100" s="299"/>
      <c r="D100" s="299">
        <f>'Forecasts &amp; support schedules'!D121/'Forecasts &amp; support schedules'!D$122</f>
        <v>1.0166641413466195E-3</v>
      </c>
      <c r="E100" s="299">
        <f>'Forecasts &amp; support schedules'!E121/'Forecasts &amp; support schedules'!E$122</f>
        <v>8.4469466381765221E-4</v>
      </c>
      <c r="F100" s="299">
        <f>'Forecasts &amp; support schedules'!F121/'Forecasts &amp; support schedules'!F$122</f>
        <v>8.0959730192582051E-4</v>
      </c>
      <c r="G100" s="299">
        <f>'Forecasts &amp; support schedules'!G121/'Forecasts &amp; support schedules'!G$122</f>
        <v>7.4318793574897405E-4</v>
      </c>
      <c r="H100" s="299">
        <f>'Forecasts &amp; support schedules'!H121/'Forecasts &amp; support schedules'!H$122</f>
        <v>8.1913515932634489E-4</v>
      </c>
    </row>
    <row r="101" spans="2:8" x14ac:dyDescent="0.3">
      <c r="B101" s="265" t="str">
        <f>'Forecasts &amp; support schedules'!B122</f>
        <v>Total current liabilities</v>
      </c>
      <c r="C101" s="266"/>
      <c r="D101" s="267">
        <f>SUM(D89:D91,D95:D100)</f>
        <v>1</v>
      </c>
      <c r="E101" s="267">
        <f t="shared" ref="E101:H101" si="11">SUM(E89:E91,E95:E100)</f>
        <v>1</v>
      </c>
      <c r="F101" s="267">
        <f t="shared" si="11"/>
        <v>1</v>
      </c>
      <c r="G101" s="267">
        <f t="shared" si="11"/>
        <v>1</v>
      </c>
      <c r="H101" s="267">
        <f t="shared" si="11"/>
        <v>0.99999999999999989</v>
      </c>
    </row>
    <row r="102" spans="2:8" x14ac:dyDescent="0.3">
      <c r="B102" s="39"/>
    </row>
  </sheetData>
  <mergeCells count="3">
    <mergeCell ref="A5:B6"/>
    <mergeCell ref="B27:B28"/>
    <mergeCell ref="B1:O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70" zoomScaleNormal="7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L41" sqref="L41"/>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BHARAT ELECTRONICS LTD</v>
      </c>
      <c r="H1" t="str">
        <f>UPDATE</f>
        <v/>
      </c>
      <c r="J1" s="3"/>
      <c r="K1" s="3"/>
      <c r="M1" s="8" t="s">
        <v>1</v>
      </c>
    </row>
    <row r="3" spans="1:14" s="2" customFormat="1" x14ac:dyDescent="0.3">
      <c r="A3" s="15" t="s">
        <v>2</v>
      </c>
      <c r="B3" s="16">
        <f>'Data Sheet'!B16</f>
        <v>42460</v>
      </c>
      <c r="C3" s="16">
        <f>'Data Sheet'!C16</f>
        <v>42825</v>
      </c>
      <c r="D3" s="16">
        <f>'Data Sheet'!D16</f>
        <v>43190</v>
      </c>
      <c r="E3" s="16">
        <f>'Data Sheet'!E16</f>
        <v>43555</v>
      </c>
      <c r="F3" s="16">
        <f>'Data Sheet'!F16</f>
        <v>43921</v>
      </c>
      <c r="G3" s="16">
        <f>'Data Sheet'!G16</f>
        <v>44286</v>
      </c>
      <c r="H3" s="16">
        <f>'Data Sheet'!H16</f>
        <v>44651</v>
      </c>
      <c r="I3" s="16">
        <f>'Data Sheet'!I16</f>
        <v>45016</v>
      </c>
      <c r="J3" s="16">
        <f>'Data Sheet'!J16</f>
        <v>45382</v>
      </c>
      <c r="K3" s="16">
        <f>'Data Sheet'!K16</f>
        <v>45747</v>
      </c>
      <c r="L3" s="17" t="s">
        <v>3</v>
      </c>
      <c r="M3" s="17" t="s">
        <v>4</v>
      </c>
      <c r="N3" s="17" t="s">
        <v>5</v>
      </c>
    </row>
    <row r="4" spans="1:14" s="8" customFormat="1" x14ac:dyDescent="0.3">
      <c r="A4" s="8" t="s">
        <v>6</v>
      </c>
      <c r="B4" s="1">
        <f>'Data Sheet'!B17</f>
        <v>7353.77</v>
      </c>
      <c r="C4" s="1">
        <f>'Data Sheet'!C17</f>
        <v>8656.39</v>
      </c>
      <c r="D4" s="1">
        <f>'Data Sheet'!D17</f>
        <v>10400.799999999999</v>
      </c>
      <c r="E4" s="1">
        <f>'Data Sheet'!E17</f>
        <v>12164.17</v>
      </c>
      <c r="F4" s="1">
        <f>'Data Sheet'!F17</f>
        <v>12967.67</v>
      </c>
      <c r="G4" s="1">
        <f>'Data Sheet'!G17</f>
        <v>14108.69</v>
      </c>
      <c r="H4" s="1">
        <f>'Data Sheet'!H17</f>
        <v>15368.18</v>
      </c>
      <c r="I4" s="1">
        <f>'Data Sheet'!I17</f>
        <v>17734.439999999999</v>
      </c>
      <c r="J4" s="1">
        <f>'Data Sheet'!J17</f>
        <v>20268.240000000002</v>
      </c>
      <c r="K4" s="1">
        <f>'Data Sheet'!K17</f>
        <v>23768.75</v>
      </c>
      <c r="L4" s="1">
        <f>SUM(Quarters!I4:L4)</f>
        <v>26535.269999999997</v>
      </c>
      <c r="M4" s="1">
        <f>$K4+M23*K4</f>
        <v>27873.830019898123</v>
      </c>
      <c r="N4" s="1">
        <f>$K4+N23*L4</f>
        <v>27094.222081109547</v>
      </c>
    </row>
    <row r="5" spans="1:14" x14ac:dyDescent="0.3">
      <c r="A5" s="6" t="s">
        <v>7</v>
      </c>
      <c r="B5" s="9">
        <f>SUM('Data Sheet'!B18,'Data Sheet'!B20:B24, -1*'Data Sheet'!B19)</f>
        <v>5960.74</v>
      </c>
      <c r="C5" s="9">
        <f>SUM('Data Sheet'!C18,'Data Sheet'!C20:C24, -1*'Data Sheet'!C19)</f>
        <v>6864.4299999999994</v>
      </c>
      <c r="D5" s="9">
        <f>SUM('Data Sheet'!D18,'Data Sheet'!D20:D24, -1*'Data Sheet'!D19)</f>
        <v>8361.4199999999983</v>
      </c>
      <c r="E5" s="9">
        <f>SUM('Data Sheet'!E18,'Data Sheet'!E20:E24, -1*'Data Sheet'!E19)</f>
        <v>9254.76</v>
      </c>
      <c r="F5" s="9">
        <f>SUM('Data Sheet'!F18,'Data Sheet'!F20:F24, -1*'Data Sheet'!F19)</f>
        <v>10209.15</v>
      </c>
      <c r="G5" s="9">
        <f>SUM('Data Sheet'!G18,'Data Sheet'!G20:G24, -1*'Data Sheet'!G19)</f>
        <v>10894.94</v>
      </c>
      <c r="H5" s="9">
        <f>SUM('Data Sheet'!H18,'Data Sheet'!H20:H24, -1*'Data Sheet'!H19)</f>
        <v>12023.8</v>
      </c>
      <c r="I5" s="9">
        <f>SUM('Data Sheet'!I18,'Data Sheet'!I20:I24, -1*'Data Sheet'!I19)</f>
        <v>13644.68</v>
      </c>
      <c r="J5" s="9">
        <f>SUM('Data Sheet'!J18,'Data Sheet'!J20:J24, -1*'Data Sheet'!J19)</f>
        <v>15216.910000000002</v>
      </c>
      <c r="K5" s="9">
        <f>SUM('Data Sheet'!K18,'Data Sheet'!K20:K24, -1*'Data Sheet'!K19)</f>
        <v>16932.199999999997</v>
      </c>
      <c r="L5" s="9">
        <f>SUM(Quarters!I5:L5)</f>
        <v>18651.53</v>
      </c>
      <c r="M5" s="9">
        <f t="shared" ref="M5:N5" si="0">M4-M6</f>
        <v>19592.39822436442</v>
      </c>
      <c r="N5" s="9">
        <f t="shared" si="0"/>
        <v>20751.336899029739</v>
      </c>
    </row>
    <row r="6" spans="1:14" s="8" customFormat="1" x14ac:dyDescent="0.3">
      <c r="A6" s="8" t="s">
        <v>8</v>
      </c>
      <c r="B6" s="1">
        <f>B4-B5</f>
        <v>1393.0300000000007</v>
      </c>
      <c r="C6" s="1">
        <f t="shared" ref="C6:K6" si="1">C4-C5</f>
        <v>1791.96</v>
      </c>
      <c r="D6" s="1">
        <f t="shared" si="1"/>
        <v>2039.380000000001</v>
      </c>
      <c r="E6" s="1">
        <f t="shared" si="1"/>
        <v>2909.41</v>
      </c>
      <c r="F6" s="1">
        <f t="shared" si="1"/>
        <v>2758.5200000000004</v>
      </c>
      <c r="G6" s="1">
        <f t="shared" si="1"/>
        <v>3213.75</v>
      </c>
      <c r="H6" s="1">
        <f t="shared" si="1"/>
        <v>3344.380000000001</v>
      </c>
      <c r="I6" s="1">
        <f t="shared" si="1"/>
        <v>4089.7599999999984</v>
      </c>
      <c r="J6" s="1">
        <f t="shared" si="1"/>
        <v>5051.33</v>
      </c>
      <c r="K6" s="1">
        <f t="shared" si="1"/>
        <v>6836.5500000000029</v>
      </c>
      <c r="L6" s="1">
        <f>SUM(Quarters!I6:L6)</f>
        <v>7883.74</v>
      </c>
      <c r="M6" s="1">
        <f>M4*M24</f>
        <v>8281.4317955337046</v>
      </c>
      <c r="N6" s="1">
        <f>N4*N24</f>
        <v>6342.8851820798072</v>
      </c>
    </row>
    <row r="7" spans="1:14" x14ac:dyDescent="0.3">
      <c r="A7" s="6" t="s">
        <v>9</v>
      </c>
      <c r="B7" s="9">
        <f>'Data Sheet'!B25</f>
        <v>572.64</v>
      </c>
      <c r="C7" s="9">
        <f>'Data Sheet'!C25</f>
        <v>420.11</v>
      </c>
      <c r="D7" s="9">
        <f>'Data Sheet'!D25</f>
        <v>195.73</v>
      </c>
      <c r="E7" s="9">
        <f>'Data Sheet'!E25</f>
        <v>72.989999999999995</v>
      </c>
      <c r="F7" s="9">
        <f>'Data Sheet'!F25</f>
        <v>99.4</v>
      </c>
      <c r="G7" s="9">
        <f>'Data Sheet'!G25</f>
        <v>124.96</v>
      </c>
      <c r="H7" s="9">
        <f>'Data Sheet'!H25</f>
        <v>231.54</v>
      </c>
      <c r="I7" s="9">
        <f>'Data Sheet'!I25</f>
        <v>280.8</v>
      </c>
      <c r="J7" s="9">
        <f>'Data Sheet'!J25</f>
        <v>670.14</v>
      </c>
      <c r="K7" s="9">
        <f>'Data Sheet'!K25</f>
        <v>742.36</v>
      </c>
      <c r="L7" s="9">
        <f>SUM(Quarters!I7:L7)</f>
        <v>650.41999999999996</v>
      </c>
      <c r="M7" s="9">
        <v>0</v>
      </c>
      <c r="N7" s="9">
        <v>0</v>
      </c>
    </row>
    <row r="8" spans="1:14" x14ac:dyDescent="0.3">
      <c r="A8" s="6" t="s">
        <v>10</v>
      </c>
      <c r="B8" s="9">
        <f>'Data Sheet'!B26</f>
        <v>191.96</v>
      </c>
      <c r="C8" s="9">
        <f>'Data Sheet'!C26</f>
        <v>211.63</v>
      </c>
      <c r="D8" s="9">
        <f>'Data Sheet'!D26</f>
        <v>271.72000000000003</v>
      </c>
      <c r="E8" s="9">
        <f>'Data Sheet'!E26</f>
        <v>338.13</v>
      </c>
      <c r="F8" s="9">
        <f>'Data Sheet'!F26</f>
        <v>371.86</v>
      </c>
      <c r="G8" s="9">
        <f>'Data Sheet'!G26</f>
        <v>387.32</v>
      </c>
      <c r="H8" s="9">
        <f>'Data Sheet'!H26</f>
        <v>401.13</v>
      </c>
      <c r="I8" s="9">
        <f>'Data Sheet'!I26</f>
        <v>428.82</v>
      </c>
      <c r="J8" s="9">
        <f>'Data Sheet'!J26</f>
        <v>443.2</v>
      </c>
      <c r="K8" s="9">
        <f>'Data Sheet'!K26</f>
        <v>467.38</v>
      </c>
      <c r="L8" s="9">
        <f>SUM(Quarters!I8:L8)</f>
        <v>520.29999999999995</v>
      </c>
      <c r="M8" s="9">
        <f>+$L8</f>
        <v>520.29999999999995</v>
      </c>
      <c r="N8" s="9">
        <f>+$L8</f>
        <v>520.29999999999995</v>
      </c>
    </row>
    <row r="9" spans="1:14" x14ac:dyDescent="0.3">
      <c r="A9" s="6" t="s">
        <v>11</v>
      </c>
      <c r="B9" s="9">
        <f>'Data Sheet'!B27</f>
        <v>9.74</v>
      </c>
      <c r="C9" s="9">
        <f>'Data Sheet'!C27</f>
        <v>17.87</v>
      </c>
      <c r="D9" s="9">
        <f>'Data Sheet'!D27</f>
        <v>6.36</v>
      </c>
      <c r="E9" s="9">
        <f>'Data Sheet'!E27</f>
        <v>15.93</v>
      </c>
      <c r="F9" s="9">
        <f>'Data Sheet'!F27</f>
        <v>7.66</v>
      </c>
      <c r="G9" s="9">
        <f>'Data Sheet'!G27</f>
        <v>9.61</v>
      </c>
      <c r="H9" s="9">
        <f>'Data Sheet'!H27</f>
        <v>8.5500000000000007</v>
      </c>
      <c r="I9" s="9">
        <f>'Data Sheet'!I27</f>
        <v>18.829999999999998</v>
      </c>
      <c r="J9" s="9">
        <f>'Data Sheet'!J27</f>
        <v>12.06</v>
      </c>
      <c r="K9" s="9">
        <f>'Data Sheet'!K27</f>
        <v>12.53</v>
      </c>
      <c r="L9" s="9">
        <f>SUM(Quarters!I9:L9)</f>
        <v>10.98</v>
      </c>
      <c r="M9" s="9">
        <f>+$L9</f>
        <v>10.98</v>
      </c>
      <c r="N9" s="9">
        <f>+$L9</f>
        <v>10.98</v>
      </c>
    </row>
    <row r="10" spans="1:14" x14ac:dyDescent="0.3">
      <c r="A10" s="6" t="s">
        <v>12</v>
      </c>
      <c r="B10" s="9">
        <f>'Data Sheet'!B28</f>
        <v>1763.97</v>
      </c>
      <c r="C10" s="9">
        <f>'Data Sheet'!C28</f>
        <v>1982.57</v>
      </c>
      <c r="D10" s="9">
        <f>'Data Sheet'!D28</f>
        <v>1957.03</v>
      </c>
      <c r="E10" s="9">
        <f>'Data Sheet'!E28</f>
        <v>2628.34</v>
      </c>
      <c r="F10" s="9">
        <f>'Data Sheet'!F28</f>
        <v>2478.4</v>
      </c>
      <c r="G10" s="9">
        <f>'Data Sheet'!G28</f>
        <v>2941.78</v>
      </c>
      <c r="H10" s="9">
        <f>'Data Sheet'!H28</f>
        <v>3166.24</v>
      </c>
      <c r="I10" s="9">
        <f>'Data Sheet'!I28</f>
        <v>3922.91</v>
      </c>
      <c r="J10" s="9">
        <f>'Data Sheet'!J28</f>
        <v>5266.21</v>
      </c>
      <c r="K10" s="9">
        <f>'Data Sheet'!K28</f>
        <v>7099</v>
      </c>
      <c r="L10" s="9">
        <f>SUM(Quarters!I10:L10)</f>
        <v>8002.8799999999992</v>
      </c>
      <c r="M10" s="9">
        <f>M6+M7-SUM(M8:M9)</f>
        <v>7750.1517955337049</v>
      </c>
      <c r="N10" s="9">
        <f>N6+N7-SUM(N8:N9)</f>
        <v>5811.6051820798075</v>
      </c>
    </row>
    <row r="11" spans="1:14" x14ac:dyDescent="0.3">
      <c r="A11" s="6" t="s">
        <v>13</v>
      </c>
      <c r="B11" s="9">
        <f>'Data Sheet'!B29</f>
        <v>427.22</v>
      </c>
      <c r="C11" s="9">
        <f>'Data Sheet'!C29</f>
        <v>485.54</v>
      </c>
      <c r="D11" s="9">
        <f>'Data Sheet'!D29</f>
        <v>549.78</v>
      </c>
      <c r="E11" s="9">
        <f>'Data Sheet'!E29</f>
        <v>780.31</v>
      </c>
      <c r="F11" s="9">
        <f>'Data Sheet'!F29</f>
        <v>685.77</v>
      </c>
      <c r="G11" s="9">
        <f>'Data Sheet'!G29</f>
        <v>872.44</v>
      </c>
      <c r="H11" s="9">
        <f>'Data Sheet'!H29</f>
        <v>811.78</v>
      </c>
      <c r="I11" s="9">
        <f>'Data Sheet'!I29</f>
        <v>982.56</v>
      </c>
      <c r="J11" s="9">
        <f>'Data Sheet'!J29</f>
        <v>1323.1</v>
      </c>
      <c r="K11" s="9">
        <f>'Data Sheet'!K29</f>
        <v>1811.85</v>
      </c>
      <c r="L11" s="9">
        <f>SUM(Quarters!I11:L11)</f>
        <v>2072.59</v>
      </c>
      <c r="M11" s="10">
        <f>IF($L10&gt;0,$L11/$L10,0)</f>
        <v>0.25898051701387503</v>
      </c>
      <c r="N11" s="10">
        <f>IF($L10&gt;0,$L11/$L10,0)</f>
        <v>0.25898051701387503</v>
      </c>
    </row>
    <row r="12" spans="1:14" s="8" customFormat="1" x14ac:dyDescent="0.3">
      <c r="A12" s="8" t="s">
        <v>14</v>
      </c>
      <c r="B12" s="1">
        <f>'Data Sheet'!B30</f>
        <v>1337.39</v>
      </c>
      <c r="C12" s="1">
        <f>'Data Sheet'!C30</f>
        <v>1523.58</v>
      </c>
      <c r="D12" s="1">
        <f>'Data Sheet'!D30</f>
        <v>1431.72</v>
      </c>
      <c r="E12" s="1">
        <f>'Data Sheet'!E30</f>
        <v>1886.4</v>
      </c>
      <c r="F12" s="1">
        <f>'Data Sheet'!F30</f>
        <v>1823.85</v>
      </c>
      <c r="G12" s="1">
        <f>'Data Sheet'!G30</f>
        <v>2098.94</v>
      </c>
      <c r="H12" s="1">
        <f>'Data Sheet'!H30</f>
        <v>2398.87</v>
      </c>
      <c r="I12" s="1">
        <f>'Data Sheet'!I30</f>
        <v>2984.42</v>
      </c>
      <c r="J12" s="1">
        <f>'Data Sheet'!J30</f>
        <v>3984.52</v>
      </c>
      <c r="K12" s="1">
        <f>'Data Sheet'!K30</f>
        <v>5321.44</v>
      </c>
      <c r="L12" s="1">
        <f>SUM(Quarters!I12:L12)</f>
        <v>5963.82</v>
      </c>
      <c r="M12" s="1">
        <f>M10-M11*M10</f>
        <v>5743.013476590374</v>
      </c>
      <c r="N12" s="1">
        <f>N10-N11*N10</f>
        <v>4306.5126673442637</v>
      </c>
    </row>
    <row r="13" spans="1:14" x14ac:dyDescent="0.3">
      <c r="A13" s="11" t="s">
        <v>57</v>
      </c>
      <c r="B13" s="9">
        <f>IF('Data Sheet'!B93&gt;0,B12/'Data Sheet'!B93,0)</f>
        <v>1.6886237373737376</v>
      </c>
      <c r="C13" s="9">
        <f>IF('Data Sheet'!C93&gt;0,C12/'Data Sheet'!C93,0)</f>
        <v>2.0669922669922669</v>
      </c>
      <c r="D13" s="9">
        <f>IF('Data Sheet'!D93&gt;0,D12/'Data Sheet'!D93,0)</f>
        <v>1.9586308790938192</v>
      </c>
      <c r="E13" s="9">
        <f>IF('Data Sheet'!E93&gt;0,E12/'Data Sheet'!E93,0)</f>
        <v>2.5806451612903225</v>
      </c>
      <c r="F13" s="9">
        <f>IF('Data Sheet'!F93&gt;0,F12/'Data Sheet'!F93,0)</f>
        <v>2.4950751046540258</v>
      </c>
      <c r="G13" s="9">
        <f>IF('Data Sheet'!G93&gt;0,G12/'Data Sheet'!G93,0)</f>
        <v>2.8714055104106815</v>
      </c>
      <c r="H13" s="9">
        <f>IF('Data Sheet'!H93&gt;0,H12/'Data Sheet'!H93,0)</f>
        <v>3.2817176940545565</v>
      </c>
      <c r="I13" s="9">
        <f>IF('Data Sheet'!I93&gt;0,I12/'Data Sheet'!I93,0)</f>
        <v>4.0827656023420618</v>
      </c>
      <c r="J13" s="9">
        <f>IF('Data Sheet'!J93&gt;0,J12/'Data Sheet'!J93,0)</f>
        <v>5.4509288899833095</v>
      </c>
      <c r="K13" s="9">
        <f>IF('Data Sheet'!K93&gt;0,K12/'Data Sheet'!K93,0)</f>
        <v>7.2798708582998159</v>
      </c>
      <c r="L13" s="9">
        <f>IF('Data Sheet'!$B6&gt;0,'Profit &amp; Loss'!L12/'Data Sheet'!$B6,0)</f>
        <v>8.1586851593013314</v>
      </c>
      <c r="M13" s="9">
        <f>IF('Data Sheet'!$B6&gt;0,'Profit &amp; Loss'!M12/'Data Sheet'!$B6,0)</f>
        <v>7.8566151931355126</v>
      </c>
      <c r="N13" s="9">
        <f>IF('Data Sheet'!$B6&gt;0,'Profit &amp; Loss'!N12/'Data Sheet'!$B6,0)</f>
        <v>5.8914388743129136</v>
      </c>
    </row>
    <row r="14" spans="1:14" x14ac:dyDescent="0.3">
      <c r="A14" s="6" t="s">
        <v>16</v>
      </c>
      <c r="B14" s="9">
        <f>IF(B15&gt;0,B15/B13,"")</f>
        <v>21.970554587667021</v>
      </c>
      <c r="C14" s="9">
        <f t="shared" ref="C14:K14" si="2">IF(C15&gt;0,C15/C13,"")</f>
        <v>22.980250462725948</v>
      </c>
      <c r="D14" s="9">
        <f t="shared" si="2"/>
        <v>24.072938144329896</v>
      </c>
      <c r="E14" s="9">
        <f t="shared" si="2"/>
        <v>12.0435</v>
      </c>
      <c r="F14" s="9">
        <f t="shared" si="2"/>
        <v>9.9475963483839145</v>
      </c>
      <c r="G14" s="9">
        <f t="shared" si="2"/>
        <v>14.522504692844961</v>
      </c>
      <c r="H14" s="9">
        <f t="shared" si="2"/>
        <v>21.412567000295976</v>
      </c>
      <c r="I14" s="9">
        <f t="shared" si="2"/>
        <v>23.893117925761118</v>
      </c>
      <c r="J14" s="9">
        <f t="shared" si="2"/>
        <v>36.966176603455374</v>
      </c>
      <c r="K14" s="9">
        <f t="shared" si="2"/>
        <v>41.390844132415289</v>
      </c>
      <c r="L14" s="9">
        <f t="shared" ref="L14" si="3">IF(L13&gt;0,L15/L13,0)</f>
        <v>57.533780362251044</v>
      </c>
      <c r="M14" s="9">
        <f>M25</f>
        <v>57.533780362251044</v>
      </c>
      <c r="N14" s="9">
        <f>N25</f>
        <v>26.066711841830053</v>
      </c>
    </row>
    <row r="15" spans="1:14" s="8" customFormat="1" x14ac:dyDescent="0.3">
      <c r="A15" s="8" t="s">
        <v>58</v>
      </c>
      <c r="B15" s="1">
        <f>'Data Sheet'!B90</f>
        <v>37.1</v>
      </c>
      <c r="C15" s="1">
        <f>'Data Sheet'!C90</f>
        <v>47.5</v>
      </c>
      <c r="D15" s="1">
        <f>'Data Sheet'!D90</f>
        <v>47.15</v>
      </c>
      <c r="E15" s="1">
        <f>'Data Sheet'!E90</f>
        <v>31.08</v>
      </c>
      <c r="F15" s="1">
        <f>'Data Sheet'!F90</f>
        <v>24.82</v>
      </c>
      <c r="G15" s="1">
        <f>'Data Sheet'!G90</f>
        <v>41.7</v>
      </c>
      <c r="H15" s="1">
        <f>'Data Sheet'!H90</f>
        <v>70.27</v>
      </c>
      <c r="I15" s="1">
        <f>'Data Sheet'!I90</f>
        <v>97.55</v>
      </c>
      <c r="J15" s="1">
        <f>'Data Sheet'!J90</f>
        <v>201.5</v>
      </c>
      <c r="K15" s="1">
        <f>'Data Sheet'!K90</f>
        <v>301.32</v>
      </c>
      <c r="L15" s="1">
        <f>'Data Sheet'!B8</f>
        <v>469.4</v>
      </c>
      <c r="M15" s="12">
        <f>M13*M14</f>
        <v>452.02077291258314</v>
      </c>
      <c r="N15" s="13">
        <f>N13*N14</f>
        <v>153.57043947047035</v>
      </c>
    </row>
    <row r="17" spans="1:14" s="8" customFormat="1" x14ac:dyDescent="0.3">
      <c r="A17" s="8" t="s">
        <v>15</v>
      </c>
    </row>
    <row r="18" spans="1:14" x14ac:dyDescent="0.3">
      <c r="A18" s="6" t="s">
        <v>17</v>
      </c>
      <c r="B18" s="7">
        <f>IF('Data Sheet'!B30&gt;0, 'Data Sheet'!B31/'Data Sheet'!B30, 0)</f>
        <v>0.30507181899072072</v>
      </c>
      <c r="C18" s="7">
        <f>IF('Data Sheet'!C30&gt;0, 'Data Sheet'!C31/'Data Sheet'!C30, 0)</f>
        <v>0.32985468436183202</v>
      </c>
      <c r="D18" s="7">
        <f>IF('Data Sheet'!D30&gt;0, 'Data Sheet'!D31/'Data Sheet'!D30, 0)</f>
        <v>0.34037381610929512</v>
      </c>
      <c r="E18" s="7">
        <f>IF('Data Sheet'!E30&gt;0, 'Data Sheet'!E31/'Data Sheet'!E30, 0)</f>
        <v>0.43916454622561496</v>
      </c>
      <c r="F18" s="7">
        <f>IF('Data Sheet'!F30&gt;0, 'Data Sheet'!F31/'Data Sheet'!F30, 0)</f>
        <v>0.37407133262055542</v>
      </c>
      <c r="G18" s="7">
        <f>IF('Data Sheet'!G30&gt;0, 'Data Sheet'!G31/'Data Sheet'!G30, 0)</f>
        <v>0.46434867123405144</v>
      </c>
      <c r="H18" s="7">
        <f>IF('Data Sheet'!H30&gt;0, 'Data Sheet'!H31/'Data Sheet'!H30, 0)</f>
        <v>0.45707770742057724</v>
      </c>
      <c r="I18" s="7">
        <f>IF('Data Sheet'!I30&gt;0, 'Data Sheet'!I31/'Data Sheet'!I30, 0)</f>
        <v>0.44087628416911828</v>
      </c>
      <c r="J18" s="7">
        <f>IF('Data Sheet'!J30&gt;0, 'Data Sheet'!J31/'Data Sheet'!J30, 0)</f>
        <v>0.4036019395058878</v>
      </c>
      <c r="K18" s="7">
        <f>IF('Data Sheet'!K30&gt;0, 'Data Sheet'!K31/'Data Sheet'!K30, 0)</f>
        <v>0.32967580203854596</v>
      </c>
    </row>
    <row r="19" spans="1:14" x14ac:dyDescent="0.3">
      <c r="A19" s="6" t="s">
        <v>18</v>
      </c>
      <c r="B19" s="7">
        <f t="shared" ref="B19:L19" si="4">IF(B6&gt;0,B6/B4,0)</f>
        <v>0.1894307273684111</v>
      </c>
      <c r="C19" s="7">
        <f t="shared" ref="C19:K19" si="5">IF(C6&gt;0,C6/C4,0)</f>
        <v>0.20701008156979989</v>
      </c>
      <c r="D19" s="7">
        <f t="shared" si="5"/>
        <v>0.19607914775786489</v>
      </c>
      <c r="E19" s="7">
        <f t="shared" si="5"/>
        <v>0.23917866981470992</v>
      </c>
      <c r="F19" s="7">
        <f t="shared" si="5"/>
        <v>0.21272287157214831</v>
      </c>
      <c r="G19" s="7">
        <f t="shared" si="5"/>
        <v>0.22778514518357126</v>
      </c>
      <c r="H19" s="7">
        <f t="shared" si="5"/>
        <v>0.21761718043385755</v>
      </c>
      <c r="I19" s="7">
        <f t="shared" si="5"/>
        <v>0.23061117238548265</v>
      </c>
      <c r="J19" s="7">
        <f t="shared" si="5"/>
        <v>0.24922390893338542</v>
      </c>
      <c r="K19" s="7">
        <f t="shared" si="5"/>
        <v>0.28762766237181187</v>
      </c>
      <c r="L19" s="7">
        <f t="shared" si="4"/>
        <v>0.29710419377681102</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0.1392281298180611</v>
      </c>
      <c r="I23" s="7">
        <f>IF(D4=0,"",POWER($K4/D4,1/7)-1)</f>
        <v>0.12532271505470072</v>
      </c>
      <c r="J23" s="7">
        <f>IF(F4=0,"",POWER($K4/F4,1/5)-1)</f>
        <v>0.12883087266358939</v>
      </c>
      <c r="K23" s="7">
        <f>IF(H4=0,"",POWER($K4/H4, 1/3)-1)</f>
        <v>0.15645294936334064</v>
      </c>
      <c r="L23" s="7">
        <f>IF(ISERROR(MAX(IF(J4=0,"",(K4-J4)/J4),IF(K4=0,"",(L4-K4)/K4))),"",MAX(IF(J4=0,"",(K4-J4)/J4),IF(K4=0,"",(L4-K4)/K4)))</f>
        <v>0.17270912521264786</v>
      </c>
      <c r="M23" s="22">
        <f>MAX(K23:L23)</f>
        <v>0.17270912521264786</v>
      </c>
      <c r="N23" s="22">
        <f>MIN(H23:L23)</f>
        <v>0.12532271505470072</v>
      </c>
    </row>
    <row r="24" spans="1:14" x14ac:dyDescent="0.3">
      <c r="G24" s="6" t="s">
        <v>18</v>
      </c>
      <c r="H24" s="7">
        <f>IF(SUM(B4:$K$4)=0,"",SUMPRODUCT(B19:$K$19,B4:$K$4)/SUM(B4:$K$4))</f>
        <v>0.23410471661048912</v>
      </c>
      <c r="I24" s="7">
        <f>IF(SUM(E4:$K$4)=0,"",SUMPRODUCT(E19:$K$19,E4:$K$4)/SUM(E4:$K$4))</f>
        <v>0.24234117608038627</v>
      </c>
      <c r="J24" s="7">
        <f>IF(SUM(G4:$K$4)=0,"",SUMPRODUCT(G19:$K$19,G4:$K$4)/SUM(G4:$K$4))</f>
        <v>0.24697194358689425</v>
      </c>
      <c r="K24" s="7">
        <f>IF(SUM(I4:$K$4)=0, "", SUMPRODUCT(I19:$K$19,I4:$K$4)/SUM(I4:$K$4))</f>
        <v>0.25865744082660869</v>
      </c>
      <c r="L24" s="7">
        <f>L19</f>
        <v>0.29710419377681102</v>
      </c>
      <c r="M24" s="22">
        <f>MAX(K24:L24)</f>
        <v>0.29710419377681102</v>
      </c>
      <c r="N24" s="22">
        <f>MIN(H24:L24)</f>
        <v>0.23410471661048912</v>
      </c>
    </row>
    <row r="25" spans="1:14" x14ac:dyDescent="0.3">
      <c r="G25" s="6" t="s">
        <v>23</v>
      </c>
      <c r="H25" s="9">
        <f>IF(ISERROR(AVERAGEIF(B14:$L14,"&gt;0")),"",AVERAGEIF(B14:$L14,"&gt;0"))</f>
        <v>26.066711841830053</v>
      </c>
      <c r="I25" s="9">
        <f>IF(ISERROR(AVERAGEIF(E14:$L14,"&gt;0")),"",AVERAGEIF(E14:$L14,"&gt;0"))</f>
        <v>27.213760883175958</v>
      </c>
      <c r="J25" s="9">
        <f>IF(ISERROR(AVERAGEIF(G14:$L14,"&gt;0")),"",AVERAGEIF(G14:$L14,"&gt;0"))</f>
        <v>32.619831786170629</v>
      </c>
      <c r="K25" s="9">
        <f>IF(ISERROR(AVERAGEIF(I14:$L14,"&gt;0")),"",AVERAGEIF(I14:$L14,"&gt;0"))</f>
        <v>39.945979755970704</v>
      </c>
      <c r="L25" s="9">
        <f>L14</f>
        <v>57.533780362251044</v>
      </c>
      <c r="M25" s="1">
        <f>MAX(K25:L25)</f>
        <v>57.533780362251044</v>
      </c>
      <c r="N25" s="1">
        <f>MIN(H25:L25)</f>
        <v>26.066711841830053</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O22"/>
  <sheetViews>
    <sheetView showGridLines="0" tabSelected="1" zoomScale="60" zoomScaleNormal="60" workbookViewId="0">
      <selection activeCell="C1" sqref="C1:L1"/>
    </sheetView>
  </sheetViews>
  <sheetFormatPr defaultColWidth="8.77734375" defaultRowHeight="14.4" x14ac:dyDescent="0.3"/>
  <cols>
    <col min="1" max="1" width="2.33203125" style="6" customWidth="1"/>
    <col min="2" max="2" width="27.33203125" style="6" customWidth="1"/>
    <col min="3" max="11" width="13.5546875" style="6" bestFit="1" customWidth="1"/>
    <col min="12" max="12" width="10.6640625" style="6" bestFit="1" customWidth="1"/>
    <col min="13" max="16384" width="8.77734375" style="6"/>
  </cols>
  <sheetData>
    <row r="1" spans="1:15" s="33" customFormat="1" ht="61.8" customHeight="1" x14ac:dyDescent="1.2">
      <c r="A1" s="35"/>
      <c r="B1" s="35"/>
      <c r="C1" s="334" t="s">
        <v>93</v>
      </c>
      <c r="D1" s="334"/>
      <c r="E1" s="334"/>
      <c r="F1" s="334"/>
      <c r="G1" s="334"/>
      <c r="H1" s="334"/>
      <c r="I1" s="334"/>
      <c r="J1" s="334"/>
      <c r="K1" s="334"/>
      <c r="L1" s="334"/>
      <c r="M1" s="113"/>
      <c r="N1" s="113"/>
      <c r="O1" s="113"/>
    </row>
    <row r="2" spans="1:15" ht="15" thickBot="1" x14ac:dyDescent="0.35">
      <c r="M2" s="29"/>
      <c r="N2" s="29"/>
      <c r="O2" s="29"/>
    </row>
    <row r="3" spans="1:15" s="2" customFormat="1" ht="16.2" thickBot="1" x14ac:dyDescent="0.35">
      <c r="B3" s="251" t="s">
        <v>2</v>
      </c>
      <c r="C3" s="252">
        <f>'Data Sheet'!B41</f>
        <v>45199</v>
      </c>
      <c r="D3" s="252">
        <f>'Data Sheet'!C41</f>
        <v>45291</v>
      </c>
      <c r="E3" s="252">
        <f>'Data Sheet'!D41</f>
        <v>45382</v>
      </c>
      <c r="F3" s="252">
        <f>'Data Sheet'!E41</f>
        <v>45473</v>
      </c>
      <c r="G3" s="252">
        <f>'Data Sheet'!F41</f>
        <v>45565</v>
      </c>
      <c r="H3" s="252">
        <f>'Data Sheet'!G41</f>
        <v>45657</v>
      </c>
      <c r="I3" s="252">
        <f>'Data Sheet'!H41</f>
        <v>45747</v>
      </c>
      <c r="J3" s="252">
        <f>'Data Sheet'!I41</f>
        <v>45838</v>
      </c>
      <c r="K3" s="252">
        <f>'Data Sheet'!J41</f>
        <v>45930</v>
      </c>
      <c r="L3" s="253">
        <f>'Data Sheet'!K41</f>
        <v>46022</v>
      </c>
      <c r="M3" s="248"/>
      <c r="N3" s="248"/>
      <c r="O3" s="249"/>
    </row>
    <row r="4" spans="1:15" s="8" customFormat="1" ht="15.6" x14ac:dyDescent="0.3">
      <c r="B4" s="254" t="s">
        <v>6</v>
      </c>
      <c r="C4" s="255">
        <f>'Data Sheet'!B42</f>
        <v>4009.06</v>
      </c>
      <c r="D4" s="255">
        <f>'Data Sheet'!C42</f>
        <v>4162.16</v>
      </c>
      <c r="E4" s="255">
        <f>'Data Sheet'!D42</f>
        <v>8564.08</v>
      </c>
      <c r="F4" s="255">
        <f>'Data Sheet'!E42</f>
        <v>4243.57</v>
      </c>
      <c r="G4" s="255">
        <f>'Data Sheet'!F42</f>
        <v>4604.8999999999996</v>
      </c>
      <c r="H4" s="255">
        <f>'Data Sheet'!G42</f>
        <v>5770.69</v>
      </c>
      <c r="I4" s="255">
        <f>'Data Sheet'!H42</f>
        <v>9149.59</v>
      </c>
      <c r="J4" s="255">
        <f>'Data Sheet'!I42</f>
        <v>4439.74</v>
      </c>
      <c r="K4" s="255">
        <f>'Data Sheet'!J42</f>
        <v>5792.09</v>
      </c>
      <c r="L4" s="256">
        <f>'Data Sheet'!K42</f>
        <v>7153.85</v>
      </c>
      <c r="M4" s="250"/>
      <c r="N4" s="250"/>
      <c r="O4" s="250"/>
    </row>
    <row r="5" spans="1:15" ht="15.6" x14ac:dyDescent="0.3">
      <c r="B5" s="254" t="s">
        <v>7</v>
      </c>
      <c r="C5" s="255">
        <f>'Data Sheet'!B43</f>
        <v>2994.89</v>
      </c>
      <c r="D5" s="255">
        <f>'Data Sheet'!C43</f>
        <v>3089.66</v>
      </c>
      <c r="E5" s="255">
        <f>'Data Sheet'!D43</f>
        <v>6276.85</v>
      </c>
      <c r="F5" s="255">
        <f>'Data Sheet'!E43</f>
        <v>3295.37</v>
      </c>
      <c r="G5" s="255">
        <f>'Data Sheet'!F43</f>
        <v>3204.95</v>
      </c>
      <c r="H5" s="255">
        <f>'Data Sheet'!G43</f>
        <v>4101.2</v>
      </c>
      <c r="I5" s="255">
        <f>'Data Sheet'!H43</f>
        <v>6333.53</v>
      </c>
      <c r="J5" s="255">
        <f>'Data Sheet'!I43</f>
        <v>3201.47</v>
      </c>
      <c r="K5" s="255">
        <f>'Data Sheet'!J43</f>
        <v>4089.92</v>
      </c>
      <c r="L5" s="256">
        <f>'Data Sheet'!K43</f>
        <v>5026.6099999999997</v>
      </c>
      <c r="M5" s="250"/>
      <c r="N5" s="250"/>
      <c r="O5" s="250"/>
    </row>
    <row r="6" spans="1:15" s="8" customFormat="1" ht="15.6" x14ac:dyDescent="0.3">
      <c r="B6" s="254" t="s">
        <v>8</v>
      </c>
      <c r="C6" s="257">
        <f>'Data Sheet'!B50</f>
        <v>1014.17</v>
      </c>
      <c r="D6" s="255">
        <f>'Data Sheet'!C50</f>
        <v>1072.5</v>
      </c>
      <c r="E6" s="255">
        <f>'Data Sheet'!D50</f>
        <v>2287.23</v>
      </c>
      <c r="F6" s="255">
        <f>'Data Sheet'!E50</f>
        <v>948.2</v>
      </c>
      <c r="G6" s="257">
        <f>'Data Sheet'!F50</f>
        <v>1399.95</v>
      </c>
      <c r="H6" s="255">
        <f>'Data Sheet'!G50</f>
        <v>1669.49</v>
      </c>
      <c r="I6" s="257">
        <f>'Data Sheet'!H50</f>
        <v>2816.06</v>
      </c>
      <c r="J6" s="255">
        <f>'Data Sheet'!I50</f>
        <v>1238.27</v>
      </c>
      <c r="K6" s="257">
        <f>'Data Sheet'!J50</f>
        <v>1702.17</v>
      </c>
      <c r="L6" s="256">
        <f>'Data Sheet'!K50</f>
        <v>2127.2399999999998</v>
      </c>
      <c r="M6" s="244"/>
      <c r="N6" s="244"/>
      <c r="O6" s="245"/>
    </row>
    <row r="7" spans="1:15" ht="15.6" x14ac:dyDescent="0.3">
      <c r="B7" s="254" t="s">
        <v>9</v>
      </c>
      <c r="C7" s="258">
        <f>'Data Sheet'!B44</f>
        <v>137.06</v>
      </c>
      <c r="D7" s="258">
        <f>'Data Sheet'!C44</f>
        <v>167.42</v>
      </c>
      <c r="E7" s="258">
        <f>'Data Sheet'!D44</f>
        <v>225.43</v>
      </c>
      <c r="F7" s="258">
        <f>'Data Sheet'!E44</f>
        <v>203.58</v>
      </c>
      <c r="G7" s="258">
        <f>'Data Sheet'!F44</f>
        <v>157.76</v>
      </c>
      <c r="H7" s="258">
        <f>'Data Sheet'!G44</f>
        <v>186.38</v>
      </c>
      <c r="I7" s="258">
        <f>'Data Sheet'!H44</f>
        <v>194.64</v>
      </c>
      <c r="J7" s="258">
        <f>'Data Sheet'!I44</f>
        <v>163.32</v>
      </c>
      <c r="K7" s="258">
        <f>'Data Sheet'!J44</f>
        <v>153.91999999999999</v>
      </c>
      <c r="L7" s="259">
        <f>'Data Sheet'!K44</f>
        <v>138.54</v>
      </c>
      <c r="M7" s="246"/>
      <c r="N7" s="246"/>
      <c r="O7" s="246"/>
    </row>
    <row r="8" spans="1:15" ht="15.6" x14ac:dyDescent="0.3">
      <c r="B8" s="254" t="s">
        <v>10</v>
      </c>
      <c r="C8" s="257">
        <f>'Data Sheet'!B45</f>
        <v>108.26</v>
      </c>
      <c r="D8" s="257">
        <f>'Data Sheet'!C45</f>
        <v>107.46</v>
      </c>
      <c r="E8" s="257">
        <f>'Data Sheet'!D45</f>
        <v>118.54</v>
      </c>
      <c r="F8" s="257">
        <f>'Data Sheet'!E45</f>
        <v>107.68</v>
      </c>
      <c r="G8" s="257">
        <f>'Data Sheet'!F45</f>
        <v>111.19</v>
      </c>
      <c r="H8" s="257">
        <f>'Data Sheet'!G45</f>
        <v>110.93</v>
      </c>
      <c r="I8" s="257">
        <f>'Data Sheet'!H45</f>
        <v>137.58000000000001</v>
      </c>
      <c r="J8" s="257">
        <f>'Data Sheet'!I45</f>
        <v>120.79</v>
      </c>
      <c r="K8" s="257">
        <f>'Data Sheet'!J45</f>
        <v>126.49</v>
      </c>
      <c r="L8" s="260">
        <f>'Data Sheet'!K45</f>
        <v>135.44</v>
      </c>
      <c r="M8" s="245"/>
      <c r="N8" s="245"/>
      <c r="O8" s="245"/>
    </row>
    <row r="9" spans="1:15" ht="15.6" x14ac:dyDescent="0.3">
      <c r="B9" s="254" t="s">
        <v>11</v>
      </c>
      <c r="C9" s="257">
        <f>'Data Sheet'!B46</f>
        <v>1.51</v>
      </c>
      <c r="D9" s="257">
        <f>'Data Sheet'!C46</f>
        <v>0.51</v>
      </c>
      <c r="E9" s="257">
        <f>'Data Sheet'!D46</f>
        <v>4.05</v>
      </c>
      <c r="F9" s="257">
        <f>'Data Sheet'!E46</f>
        <v>1.18</v>
      </c>
      <c r="G9" s="257">
        <f>'Data Sheet'!F46</f>
        <v>1.32</v>
      </c>
      <c r="H9" s="257">
        <f>'Data Sheet'!G46</f>
        <v>1.32</v>
      </c>
      <c r="I9" s="257">
        <f>'Data Sheet'!H46</f>
        <v>5.86</v>
      </c>
      <c r="J9" s="257">
        <f>'Data Sheet'!I46</f>
        <v>1.44</v>
      </c>
      <c r="K9" s="257">
        <f>'Data Sheet'!J46</f>
        <v>1.65</v>
      </c>
      <c r="L9" s="260">
        <f>'Data Sheet'!K46</f>
        <v>2.0299999999999998</v>
      </c>
      <c r="M9" s="245"/>
      <c r="N9" s="245"/>
      <c r="O9" s="245"/>
    </row>
    <row r="10" spans="1:15" ht="15.6" x14ac:dyDescent="0.3">
      <c r="B10" s="254" t="s">
        <v>12</v>
      </c>
      <c r="C10" s="257">
        <f>'Data Sheet'!B47</f>
        <v>1041.46</v>
      </c>
      <c r="D10" s="257">
        <f>'Data Sheet'!C47</f>
        <v>1131.95</v>
      </c>
      <c r="E10" s="257">
        <f>'Data Sheet'!D47</f>
        <v>2390.0700000000002</v>
      </c>
      <c r="F10" s="257">
        <f>'Data Sheet'!E47</f>
        <v>1042.92</v>
      </c>
      <c r="G10" s="257">
        <f>'Data Sheet'!F47</f>
        <v>1445.2</v>
      </c>
      <c r="H10" s="257">
        <f>'Data Sheet'!G47</f>
        <v>1743.62</v>
      </c>
      <c r="I10" s="257">
        <f>'Data Sheet'!H47</f>
        <v>2867.26</v>
      </c>
      <c r="J10" s="255">
        <f>'Data Sheet'!I47</f>
        <v>1279.3599999999999</v>
      </c>
      <c r="K10" s="257">
        <f>'Data Sheet'!J47</f>
        <v>1727.95</v>
      </c>
      <c r="L10" s="260">
        <f>'Data Sheet'!K47</f>
        <v>2128.31</v>
      </c>
      <c r="M10" s="245"/>
      <c r="N10" s="245"/>
      <c r="O10" s="245"/>
    </row>
    <row r="11" spans="1:15" ht="15.6" x14ac:dyDescent="0.3">
      <c r="B11" s="254" t="s">
        <v>13</v>
      </c>
      <c r="C11" s="257">
        <f>'Data Sheet'!B48</f>
        <v>260.73</v>
      </c>
      <c r="D11" s="255">
        <f>'Data Sheet'!C48</f>
        <v>283.83</v>
      </c>
      <c r="E11" s="255">
        <f>'Data Sheet'!D48</f>
        <v>604.41</v>
      </c>
      <c r="F11" s="255">
        <f>'Data Sheet'!E48</f>
        <v>261.93</v>
      </c>
      <c r="G11" s="257">
        <f>'Data Sheet'!F48</f>
        <v>361.32</v>
      </c>
      <c r="H11" s="255">
        <f>'Data Sheet'!G48</f>
        <v>442.35</v>
      </c>
      <c r="I11" s="255">
        <f>'Data Sheet'!H48</f>
        <v>746.25</v>
      </c>
      <c r="J11" s="255">
        <f>'Data Sheet'!I48</f>
        <v>318.69</v>
      </c>
      <c r="K11" s="255">
        <f>'Data Sheet'!J48</f>
        <v>449.53</v>
      </c>
      <c r="L11" s="256">
        <f>'Data Sheet'!K48</f>
        <v>558.12</v>
      </c>
      <c r="M11" s="244"/>
      <c r="N11" s="244"/>
      <c r="O11" s="244"/>
    </row>
    <row r="12" spans="1:15" s="8" customFormat="1" ht="15.6" x14ac:dyDescent="0.3">
      <c r="B12" s="254" t="s">
        <v>14</v>
      </c>
      <c r="C12" s="258">
        <f>'Data Sheet'!B49</f>
        <v>789.35</v>
      </c>
      <c r="D12" s="258">
        <f>'Data Sheet'!C49</f>
        <v>859.58</v>
      </c>
      <c r="E12" s="258">
        <f>'Data Sheet'!D49</f>
        <v>1797.11</v>
      </c>
      <c r="F12" s="258">
        <f>'Data Sheet'!E49</f>
        <v>791</v>
      </c>
      <c r="G12" s="258">
        <f>'Data Sheet'!F49</f>
        <v>1092.45</v>
      </c>
      <c r="H12" s="258">
        <f>'Data Sheet'!G49</f>
        <v>1310.95</v>
      </c>
      <c r="I12" s="258">
        <f>'Data Sheet'!H49</f>
        <v>2127.04</v>
      </c>
      <c r="J12" s="258">
        <f>'Data Sheet'!I49</f>
        <v>969.91</v>
      </c>
      <c r="K12" s="258">
        <f>'Data Sheet'!J49</f>
        <v>1287.77</v>
      </c>
      <c r="L12" s="259">
        <f>'Data Sheet'!K49</f>
        <v>1579.1</v>
      </c>
      <c r="M12" s="246"/>
      <c r="N12" s="246"/>
      <c r="O12" s="246"/>
    </row>
    <row r="13" spans="1:15" ht="15.6" x14ac:dyDescent="0.3">
      <c r="B13" s="254"/>
      <c r="C13" s="257"/>
      <c r="D13" s="257"/>
      <c r="E13" s="257"/>
      <c r="F13" s="255"/>
      <c r="G13" s="257"/>
      <c r="H13" s="255"/>
      <c r="I13" s="255"/>
      <c r="J13" s="255"/>
      <c r="K13" s="257"/>
      <c r="L13" s="256"/>
      <c r="M13" s="244"/>
      <c r="N13" s="244"/>
      <c r="O13" s="244"/>
    </row>
    <row r="14" spans="1:15" s="8" customFormat="1" ht="16.2" thickBot="1" x14ac:dyDescent="0.35">
      <c r="B14" s="261" t="s">
        <v>18</v>
      </c>
      <c r="C14" s="262">
        <f>IF(C4&gt;0,C6/C4,"")</f>
        <v>0.25296952402807638</v>
      </c>
      <c r="D14" s="262">
        <f t="shared" ref="D14:L14" si="0">IF(D4&gt;0,D6/D4,"")</f>
        <v>0.25767870528763914</v>
      </c>
      <c r="E14" s="262">
        <f t="shared" si="0"/>
        <v>0.26707247013105906</v>
      </c>
      <c r="F14" s="262">
        <f t="shared" si="0"/>
        <v>0.22344393989023395</v>
      </c>
      <c r="G14" s="262">
        <f t="shared" si="0"/>
        <v>0.30401311646289825</v>
      </c>
      <c r="H14" s="262">
        <f t="shared" si="0"/>
        <v>0.28930509176545616</v>
      </c>
      <c r="I14" s="262">
        <f t="shared" si="0"/>
        <v>0.30777991144958405</v>
      </c>
      <c r="J14" s="262">
        <f t="shared" si="0"/>
        <v>0.27890597197133166</v>
      </c>
      <c r="K14" s="262">
        <f t="shared" si="0"/>
        <v>0.29387837550866786</v>
      </c>
      <c r="L14" s="263">
        <f t="shared" si="0"/>
        <v>0.29735596916345741</v>
      </c>
      <c r="M14" s="247"/>
      <c r="N14" s="247"/>
      <c r="O14" s="247"/>
    </row>
    <row r="15" spans="1:15" ht="15" thickTop="1" x14ac:dyDescent="0.3"/>
    <row r="22" s="30" customFormat="1" x14ac:dyDescent="0.3"/>
  </sheetData>
  <mergeCells count="1">
    <mergeCell ref="C1:L1"/>
  </mergeCells>
  <printOptions gridLines="1"/>
  <pageMargins left="0.7" right="0.7" top="0.75" bottom="0.75" header="0.3" footer="0.3"/>
  <pageSetup paperSize="9" scale="83" orientation="landscape" horizontalDpi="300" verticalDpi="300"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FA704-B3B0-45D4-BC87-F841A888D295}">
  <dimension ref="A1:W36"/>
  <sheetViews>
    <sheetView showGridLines="0" topLeftCell="A3" workbookViewId="0">
      <selection activeCell="E19" sqref="E19"/>
    </sheetView>
  </sheetViews>
  <sheetFormatPr defaultRowHeight="14.4" x14ac:dyDescent="0.3"/>
  <cols>
    <col min="1" max="1" width="2.33203125" customWidth="1"/>
    <col min="2" max="2" width="28.5546875" bestFit="1" customWidth="1"/>
    <col min="3" max="3" width="15.77734375" bestFit="1" customWidth="1"/>
    <col min="5" max="5" width="25" bestFit="1" customWidth="1"/>
    <col min="6" max="6" width="13.5546875" bestFit="1" customWidth="1"/>
    <col min="7" max="7" width="26.44140625" customWidth="1"/>
    <col min="10" max="10" width="8" bestFit="1" customWidth="1"/>
  </cols>
  <sheetData>
    <row r="1" spans="1:23" ht="62.4" x14ac:dyDescent="1.2">
      <c r="A1" s="334" t="s">
        <v>476</v>
      </c>
      <c r="B1" s="334"/>
      <c r="C1" s="334"/>
      <c r="D1" s="334"/>
      <c r="E1" s="334"/>
      <c r="F1" s="334"/>
      <c r="G1" s="334"/>
      <c r="H1" s="334"/>
      <c r="I1" s="334"/>
      <c r="J1" s="334"/>
      <c r="K1" s="113"/>
      <c r="L1" s="113"/>
      <c r="M1" s="113"/>
      <c r="N1" s="113"/>
      <c r="O1" s="113"/>
      <c r="P1" s="33"/>
      <c r="Q1" s="33"/>
    </row>
    <row r="3" spans="1:23" s="39" customFormat="1" ht="24.6" customHeight="1" x14ac:dyDescent="0.4">
      <c r="A3" s="184" t="s">
        <v>473</v>
      </c>
      <c r="B3" s="185"/>
      <c r="C3" s="185"/>
      <c r="D3" s="185"/>
      <c r="E3" s="185"/>
      <c r="F3" s="185"/>
      <c r="G3" s="185"/>
      <c r="H3" s="186"/>
      <c r="I3" s="186"/>
      <c r="J3" s="186"/>
      <c r="K3" s="312"/>
      <c r="L3" s="312"/>
      <c r="M3" s="312"/>
      <c r="N3" s="312"/>
      <c r="O3" s="312"/>
      <c r="P3" s="312"/>
      <c r="Q3" s="312"/>
      <c r="R3" s="312"/>
      <c r="S3" s="312"/>
      <c r="T3" s="312"/>
      <c r="U3" s="312"/>
      <c r="V3" s="312"/>
      <c r="W3" s="312"/>
    </row>
    <row r="5" spans="1:23" ht="21" x14ac:dyDescent="0.4">
      <c r="B5" s="217" t="s">
        <v>360</v>
      </c>
      <c r="C5" s="332" t="s">
        <v>310</v>
      </c>
      <c r="G5" s="364" t="s">
        <v>519</v>
      </c>
      <c r="H5" s="364"/>
      <c r="I5" s="364"/>
      <c r="J5" s="364"/>
      <c r="K5" s="364"/>
      <c r="L5" s="364"/>
      <c r="M5" s="364"/>
      <c r="N5" s="364"/>
      <c r="O5" s="323"/>
      <c r="P5" s="323"/>
      <c r="Q5" s="323"/>
      <c r="R5" s="323"/>
    </row>
    <row r="6" spans="1:23" x14ac:dyDescent="0.3">
      <c r="B6" s="271" t="s">
        <v>395</v>
      </c>
      <c r="C6" s="316">
        <v>45516</v>
      </c>
    </row>
    <row r="7" spans="1:23" x14ac:dyDescent="0.3">
      <c r="B7" s="271" t="s">
        <v>396</v>
      </c>
      <c r="C7" s="316">
        <v>45747</v>
      </c>
      <c r="H7" s="322" t="s">
        <v>518</v>
      </c>
      <c r="I7" s="322"/>
      <c r="J7" s="322"/>
      <c r="K7" s="322"/>
      <c r="L7" s="322"/>
      <c r="M7" s="322"/>
      <c r="N7" s="322"/>
    </row>
    <row r="8" spans="1:23" x14ac:dyDescent="0.3">
      <c r="B8" s="271" t="s">
        <v>323</v>
      </c>
      <c r="C8" s="316">
        <v>7.1900000000000006E-2</v>
      </c>
      <c r="G8" s="203"/>
      <c r="H8" s="39"/>
      <c r="I8" s="39"/>
      <c r="J8" s="39"/>
      <c r="K8" s="39"/>
      <c r="L8" s="39"/>
      <c r="M8" s="39"/>
      <c r="N8" s="39"/>
    </row>
    <row r="9" spans="1:23" x14ac:dyDescent="0.3">
      <c r="B9" s="271" t="s">
        <v>322</v>
      </c>
      <c r="C9" s="316">
        <v>0.255</v>
      </c>
      <c r="G9" s="203"/>
      <c r="H9" s="39"/>
      <c r="I9" s="39"/>
      <c r="J9" s="321" t="s">
        <v>517</v>
      </c>
      <c r="K9" s="321"/>
      <c r="L9" s="321"/>
      <c r="M9" s="321"/>
      <c r="N9" s="321"/>
    </row>
    <row r="10" spans="1:23" ht="14.4" customHeight="1" x14ac:dyDescent="0.3">
      <c r="B10" s="271" t="s">
        <v>397</v>
      </c>
      <c r="C10" s="316" t="s">
        <v>489</v>
      </c>
      <c r="G10" s="203"/>
      <c r="H10" s="39"/>
      <c r="I10" s="325"/>
      <c r="J10" s="331" t="s">
        <v>512</v>
      </c>
      <c r="K10" s="326" t="s">
        <v>513</v>
      </c>
      <c r="L10" s="326" t="s">
        <v>514</v>
      </c>
      <c r="M10" s="326" t="s">
        <v>515</v>
      </c>
      <c r="N10" s="326" t="s">
        <v>516</v>
      </c>
    </row>
    <row r="11" spans="1:23" x14ac:dyDescent="0.3">
      <c r="B11" s="271" t="s">
        <v>398</v>
      </c>
      <c r="C11" s="316">
        <v>0.06</v>
      </c>
      <c r="E11" s="217" t="s">
        <v>492</v>
      </c>
      <c r="F11" s="218" t="s">
        <v>493</v>
      </c>
      <c r="G11" s="203"/>
      <c r="H11" s="363" t="s">
        <v>399</v>
      </c>
      <c r="I11" s="326">
        <v>0.12</v>
      </c>
      <c r="J11" s="327">
        <v>326</v>
      </c>
      <c r="K11" s="328">
        <v>344</v>
      </c>
      <c r="L11" s="328">
        <v>442</v>
      </c>
      <c r="M11" s="328">
        <v>382</v>
      </c>
      <c r="N11" s="328">
        <v>401</v>
      </c>
    </row>
    <row r="12" spans="1:23" x14ac:dyDescent="0.3">
      <c r="B12" s="271" t="s">
        <v>490</v>
      </c>
      <c r="C12" s="316">
        <v>0.12709999999999999</v>
      </c>
      <c r="E12" s="271" t="s">
        <v>494</v>
      </c>
      <c r="F12" s="316">
        <v>86047422</v>
      </c>
      <c r="G12" s="203"/>
      <c r="H12" s="363"/>
      <c r="I12" s="326">
        <v>0.13</v>
      </c>
      <c r="J12" s="327">
        <v>301</v>
      </c>
      <c r="K12" s="329">
        <v>318</v>
      </c>
      <c r="L12" s="329">
        <v>408</v>
      </c>
      <c r="M12" s="329">
        <v>352</v>
      </c>
      <c r="N12" s="328">
        <v>370</v>
      </c>
    </row>
    <row r="13" spans="1:23" x14ac:dyDescent="0.3">
      <c r="B13" s="271" t="s">
        <v>400</v>
      </c>
      <c r="C13" s="317">
        <v>73098</v>
      </c>
      <c r="E13" s="271" t="s">
        <v>495</v>
      </c>
      <c r="F13" s="316">
        <v>19540687</v>
      </c>
      <c r="G13" s="203"/>
      <c r="H13" s="363"/>
      <c r="I13" s="326">
        <v>0.12709999999999999</v>
      </c>
      <c r="J13" s="327">
        <v>308</v>
      </c>
      <c r="K13" s="329">
        <v>325</v>
      </c>
      <c r="L13" s="330">
        <v>417</v>
      </c>
      <c r="M13" s="329">
        <v>361</v>
      </c>
      <c r="N13" s="328">
        <v>378</v>
      </c>
    </row>
    <row r="14" spans="1:23" x14ac:dyDescent="0.3">
      <c r="B14" s="271" t="s">
        <v>43</v>
      </c>
      <c r="C14" s="316">
        <v>272</v>
      </c>
      <c r="E14" s="319" t="s">
        <v>496</v>
      </c>
      <c r="F14" s="320">
        <v>52794055</v>
      </c>
      <c r="G14" s="203"/>
      <c r="H14" s="363"/>
      <c r="I14" s="326">
        <v>0.15</v>
      </c>
      <c r="J14" s="327">
        <v>258</v>
      </c>
      <c r="K14" s="329">
        <v>272</v>
      </c>
      <c r="L14" s="329">
        <v>347</v>
      </c>
      <c r="M14" s="329">
        <v>301</v>
      </c>
      <c r="N14" s="328">
        <v>315</v>
      </c>
    </row>
    <row r="15" spans="1:23" x14ac:dyDescent="0.3">
      <c r="G15" s="203"/>
      <c r="H15" s="363"/>
      <c r="I15" s="326">
        <v>0.17</v>
      </c>
      <c r="J15" s="327">
        <v>222</v>
      </c>
      <c r="K15" s="328">
        <v>234</v>
      </c>
      <c r="L15" s="328">
        <v>297</v>
      </c>
      <c r="M15" s="328">
        <v>258</v>
      </c>
      <c r="N15" s="328">
        <v>270</v>
      </c>
    </row>
    <row r="16" spans="1:23" x14ac:dyDescent="0.3">
      <c r="B16" s="217" t="s">
        <v>360</v>
      </c>
      <c r="C16" s="218" t="s">
        <v>497</v>
      </c>
      <c r="G16" s="203"/>
      <c r="H16" s="39"/>
      <c r="I16" s="39"/>
      <c r="J16" s="39"/>
      <c r="K16" s="39"/>
      <c r="L16" s="39"/>
      <c r="M16" s="39"/>
      <c r="N16" s="39"/>
    </row>
    <row r="17" spans="2:14" x14ac:dyDescent="0.3">
      <c r="B17" s="271" t="s">
        <v>498</v>
      </c>
      <c r="C17" s="316">
        <v>3538862</v>
      </c>
      <c r="G17" s="203"/>
      <c r="H17" s="39"/>
      <c r="I17" s="39"/>
      <c r="J17" s="39"/>
      <c r="K17" s="39"/>
      <c r="L17" s="39"/>
      <c r="M17" s="39"/>
      <c r="N17" s="39"/>
    </row>
    <row r="18" spans="2:14" ht="14.4" customHeight="1" x14ac:dyDescent="0.3">
      <c r="B18" s="271" t="s">
        <v>499</v>
      </c>
      <c r="C18" s="316">
        <v>15957341</v>
      </c>
      <c r="G18" s="203"/>
      <c r="H18" s="39"/>
      <c r="I18" s="39"/>
      <c r="J18" s="324" t="s">
        <v>398</v>
      </c>
      <c r="K18" s="324"/>
      <c r="L18" s="324"/>
      <c r="M18" s="324"/>
      <c r="N18" s="321"/>
    </row>
    <row r="19" spans="2:14" x14ac:dyDescent="0.3">
      <c r="B19" s="271" t="s">
        <v>474</v>
      </c>
      <c r="C19" s="316">
        <v>19496203</v>
      </c>
      <c r="G19" s="203"/>
      <c r="H19" s="39"/>
      <c r="I19" s="325"/>
      <c r="J19" s="331">
        <v>0.04</v>
      </c>
      <c r="K19" s="326">
        <v>0.05</v>
      </c>
      <c r="L19" s="326">
        <v>0.06</v>
      </c>
      <c r="M19" s="326">
        <v>7.0000000000000007E-2</v>
      </c>
      <c r="N19" s="326">
        <v>0.08</v>
      </c>
    </row>
    <row r="20" spans="2:14" ht="14.4" customHeight="1" x14ac:dyDescent="0.3">
      <c r="B20" s="271" t="s">
        <v>500</v>
      </c>
      <c r="C20" s="316">
        <v>954510</v>
      </c>
      <c r="G20" s="203"/>
      <c r="H20" s="363" t="s">
        <v>399</v>
      </c>
      <c r="I20" s="326">
        <v>0.12</v>
      </c>
      <c r="J20" s="327">
        <v>3135.6318570677099</v>
      </c>
      <c r="K20" s="328">
        <v>3177.1291402340698</v>
      </c>
      <c r="L20" s="328">
        <v>3232.4588511225502</v>
      </c>
      <c r="M20" s="328">
        <v>3309.92044636642</v>
      </c>
      <c r="N20" s="328">
        <v>3426.1128392322198</v>
      </c>
    </row>
    <row r="21" spans="2:14" x14ac:dyDescent="0.3">
      <c r="B21" s="271" t="s">
        <v>501</v>
      </c>
      <c r="C21" s="316">
        <v>-589</v>
      </c>
      <c r="G21" s="203"/>
      <c r="H21" s="363"/>
      <c r="I21" s="326">
        <v>0.13</v>
      </c>
      <c r="J21" s="327">
        <v>2912.4530036292899</v>
      </c>
      <c r="K21" s="329">
        <v>2942.3431130546701</v>
      </c>
      <c r="L21" s="329">
        <v>2980.7732537444399</v>
      </c>
      <c r="M21" s="329">
        <v>3032.0134413308101</v>
      </c>
      <c r="N21" s="328">
        <v>3103.7497039517202</v>
      </c>
    </row>
    <row r="22" spans="2:14" x14ac:dyDescent="0.3">
      <c r="B22" s="271" t="s">
        <v>502</v>
      </c>
      <c r="C22" s="316">
        <v>-1894</v>
      </c>
      <c r="G22" s="203"/>
      <c r="H22" s="363"/>
      <c r="I22" s="326">
        <v>0.103778215018639</v>
      </c>
      <c r="J22" s="327">
        <v>3573.3900789458498</v>
      </c>
      <c r="K22" s="329">
        <v>3650.2435236681199</v>
      </c>
      <c r="L22" s="330">
        <v>3762.2073285042302</v>
      </c>
      <c r="M22" s="329">
        <v>3940.4646333221099</v>
      </c>
      <c r="N22" s="328">
        <v>4268.6552318528702</v>
      </c>
    </row>
    <row r="23" spans="2:14" x14ac:dyDescent="0.3">
      <c r="B23" s="271" t="s">
        <v>298</v>
      </c>
      <c r="C23" s="316">
        <v>20448230</v>
      </c>
      <c r="G23" s="203"/>
      <c r="H23" s="363"/>
      <c r="I23" s="326">
        <v>0.15</v>
      </c>
      <c r="J23" s="327">
        <v>2541.5050583980101</v>
      </c>
      <c r="K23" s="329">
        <v>2558.3181760613302</v>
      </c>
      <c r="L23" s="329">
        <v>2578.86754209428</v>
      </c>
      <c r="M23" s="329">
        <v>2604.5542496354701</v>
      </c>
      <c r="N23" s="328">
        <v>2637.5800164741299</v>
      </c>
    </row>
    <row r="24" spans="2:14" x14ac:dyDescent="0.3">
      <c r="B24" s="271" t="s">
        <v>400</v>
      </c>
      <c r="C24" s="316" t="s">
        <v>491</v>
      </c>
      <c r="G24" s="203"/>
      <c r="H24" s="363"/>
      <c r="I24" s="326">
        <v>0.17</v>
      </c>
      <c r="J24" s="327">
        <v>2245.3300145118401</v>
      </c>
      <c r="K24" s="328">
        <v>2255.54486803388</v>
      </c>
      <c r="L24" s="328">
        <v>2267.6169676508398</v>
      </c>
      <c r="M24" s="328">
        <v>2282.1034871911902</v>
      </c>
      <c r="N24" s="328">
        <v>2299.80923329607</v>
      </c>
    </row>
    <row r="25" spans="2:14" x14ac:dyDescent="0.3">
      <c r="B25" s="271" t="s">
        <v>503</v>
      </c>
      <c r="C25" s="316">
        <v>279.74</v>
      </c>
      <c r="G25" s="203"/>
    </row>
    <row r="26" spans="2:14" x14ac:dyDescent="0.3">
      <c r="B26" s="271" t="s">
        <v>43</v>
      </c>
      <c r="C26" s="316">
        <v>272</v>
      </c>
    </row>
    <row r="27" spans="2:14" x14ac:dyDescent="0.3">
      <c r="B27" s="271" t="s">
        <v>504</v>
      </c>
      <c r="C27" s="316" t="s">
        <v>505</v>
      </c>
    </row>
    <row r="29" spans="2:14" x14ac:dyDescent="0.3">
      <c r="B29" s="333" t="s">
        <v>506</v>
      </c>
      <c r="C29" s="332" t="s">
        <v>366</v>
      </c>
      <c r="D29" s="333" t="s">
        <v>367</v>
      </c>
      <c r="E29" s="332" t="s">
        <v>368</v>
      </c>
      <c r="F29" s="333" t="s">
        <v>369</v>
      </c>
      <c r="G29" s="332" t="s">
        <v>370</v>
      </c>
      <c r="H29" s="333" t="s">
        <v>371</v>
      </c>
      <c r="I29" s="333" t="s">
        <v>372</v>
      </c>
      <c r="J29" s="333" t="s">
        <v>373</v>
      </c>
      <c r="K29" s="333" t="s">
        <v>374</v>
      </c>
      <c r="L29" s="333" t="s">
        <v>375</v>
      </c>
    </row>
    <row r="30" spans="2:14" x14ac:dyDescent="0.3">
      <c r="B30" s="271" t="s">
        <v>349</v>
      </c>
      <c r="C30" s="316">
        <v>555821</v>
      </c>
      <c r="D30" s="271">
        <v>650311</v>
      </c>
      <c r="E30" s="316">
        <v>760864</v>
      </c>
      <c r="F30" s="271">
        <v>882602</v>
      </c>
      <c r="G30" s="316">
        <v>1014992</v>
      </c>
      <c r="H30" s="271">
        <v>1162166</v>
      </c>
      <c r="I30" s="271">
        <v>1324869</v>
      </c>
      <c r="J30" s="271">
        <v>1503727</v>
      </c>
      <c r="K30" s="271">
        <v>1699211</v>
      </c>
      <c r="L30" s="271">
        <v>1911613</v>
      </c>
    </row>
    <row r="31" spans="2:14" ht="14.4" customHeight="1" x14ac:dyDescent="0.3">
      <c r="B31" s="271" t="s">
        <v>507</v>
      </c>
      <c r="C31" s="316">
        <v>-141734</v>
      </c>
      <c r="D31" s="271">
        <v>-165829</v>
      </c>
      <c r="E31" s="316">
        <v>-194020</v>
      </c>
      <c r="F31" s="271">
        <v>-225063</v>
      </c>
      <c r="G31" s="316">
        <v>-258823</v>
      </c>
      <c r="H31" s="271">
        <v>-296352</v>
      </c>
      <c r="I31" s="271">
        <v>-337842</v>
      </c>
      <c r="J31" s="271">
        <v>-383450</v>
      </c>
      <c r="K31" s="271">
        <v>-433299</v>
      </c>
      <c r="L31" s="271">
        <v>-487461</v>
      </c>
    </row>
    <row r="32" spans="2:14" ht="14.4" customHeight="1" x14ac:dyDescent="0.3">
      <c r="B32" s="271" t="s">
        <v>508</v>
      </c>
      <c r="C32" s="316">
        <v>414087</v>
      </c>
      <c r="D32" s="271">
        <v>484482</v>
      </c>
      <c r="E32" s="316">
        <v>566844</v>
      </c>
      <c r="F32" s="271">
        <v>657538</v>
      </c>
      <c r="G32" s="316">
        <v>756169</v>
      </c>
      <c r="H32" s="271">
        <v>865814</v>
      </c>
      <c r="I32" s="271">
        <v>987028</v>
      </c>
      <c r="J32" s="271">
        <v>1120276</v>
      </c>
      <c r="K32" s="271">
        <v>1265912</v>
      </c>
      <c r="L32" s="271">
        <v>1424151</v>
      </c>
    </row>
    <row r="33" spans="2:12" ht="14.4" customHeight="1" x14ac:dyDescent="0.3">
      <c r="B33" s="271" t="s">
        <v>509</v>
      </c>
      <c r="C33" s="316">
        <v>63006</v>
      </c>
      <c r="D33" s="271">
        <v>73717</v>
      </c>
      <c r="E33" s="316">
        <v>86249</v>
      </c>
      <c r="F33" s="271">
        <v>100049</v>
      </c>
      <c r="G33" s="316">
        <v>115056</v>
      </c>
      <c r="H33" s="271">
        <v>131739</v>
      </c>
      <c r="I33" s="271">
        <v>150182</v>
      </c>
      <c r="J33" s="271">
        <v>170457</v>
      </c>
      <c r="K33" s="271">
        <v>192617</v>
      </c>
      <c r="L33" s="271">
        <v>216694</v>
      </c>
    </row>
    <row r="34" spans="2:12" ht="14.4" customHeight="1" x14ac:dyDescent="0.3">
      <c r="B34" s="271" t="s">
        <v>420</v>
      </c>
      <c r="C34" s="316">
        <v>-99459</v>
      </c>
      <c r="D34" s="271">
        <v>-116368</v>
      </c>
      <c r="E34" s="316">
        <v>-136150</v>
      </c>
      <c r="F34" s="271">
        <v>-157934</v>
      </c>
      <c r="G34" s="316">
        <v>-181624</v>
      </c>
      <c r="H34" s="271">
        <v>-207960</v>
      </c>
      <c r="I34" s="271">
        <v>-237074</v>
      </c>
      <c r="J34" s="271">
        <v>-269079</v>
      </c>
      <c r="K34" s="271">
        <v>-304059</v>
      </c>
      <c r="L34" s="271">
        <v>-342067</v>
      </c>
    </row>
    <row r="35" spans="2:12" ht="14.4" customHeight="1" x14ac:dyDescent="0.3">
      <c r="B35" s="271" t="s">
        <v>510</v>
      </c>
      <c r="C35" s="316">
        <v>-24676</v>
      </c>
      <c r="D35" s="271">
        <v>-27500</v>
      </c>
      <c r="E35" s="316">
        <v>-32175</v>
      </c>
      <c r="F35" s="271">
        <v>-35430</v>
      </c>
      <c r="G35" s="316">
        <v>-38530</v>
      </c>
      <c r="H35" s="271">
        <v>-42833</v>
      </c>
      <c r="I35" s="271">
        <v>-47352</v>
      </c>
      <c r="J35" s="271">
        <v>-52054</v>
      </c>
      <c r="K35" s="271">
        <v>-56893</v>
      </c>
      <c r="L35" s="271">
        <v>-61816</v>
      </c>
    </row>
    <row r="36" spans="2:12" s="121" customFormat="1" x14ac:dyDescent="0.3">
      <c r="B36" s="290" t="s">
        <v>511</v>
      </c>
      <c r="C36" s="318">
        <v>352958</v>
      </c>
      <c r="D36" s="290">
        <v>414331</v>
      </c>
      <c r="E36" s="318">
        <v>484768</v>
      </c>
      <c r="F36" s="290">
        <v>564223</v>
      </c>
      <c r="G36" s="318">
        <v>651071</v>
      </c>
      <c r="H36" s="290">
        <v>746761</v>
      </c>
      <c r="I36" s="290">
        <v>852784</v>
      </c>
      <c r="J36" s="290">
        <v>969601</v>
      </c>
      <c r="K36" s="290">
        <v>1097577</v>
      </c>
      <c r="L36" s="290">
        <v>1236962</v>
      </c>
    </row>
  </sheetData>
  <mergeCells count="4">
    <mergeCell ref="H11:H15"/>
    <mergeCell ref="H20:H24"/>
    <mergeCell ref="A1:J1"/>
    <mergeCell ref="G5:N5"/>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0C0FA-8ABA-4624-BEE8-68CE2A0C92DA}">
  <dimension ref="A1"/>
  <sheetViews>
    <sheetView workbookViewId="0"/>
  </sheetViews>
  <sheetFormatPr defaultRowHeight="14.4"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D10" activePane="bottomRight" state="frozen"/>
      <selection activeCell="C4" sqref="C4"/>
      <selection pane="topRight" activeCell="C4" sqref="C4"/>
      <selection pane="bottomLeft" activeCell="C4" sqref="C4"/>
      <selection pane="bottomRight" activeCell="L24" sqref="L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BHARAT ELECTRONICS LTD</v>
      </c>
      <c r="E1" t="str">
        <f>UPDATE</f>
        <v/>
      </c>
      <c r="G1"/>
      <c r="J1" s="4" t="s">
        <v>1</v>
      </c>
      <c r="K1" s="4"/>
    </row>
    <row r="2" spans="1:11" x14ac:dyDescent="0.3">
      <c r="G2" s="8"/>
      <c r="H2" s="8"/>
    </row>
    <row r="3" spans="1:11" s="18" customFormat="1" x14ac:dyDescent="0.3">
      <c r="A3" s="15" t="s">
        <v>2</v>
      </c>
      <c r="B3" s="16">
        <f>'Data Sheet'!B56</f>
        <v>42460</v>
      </c>
      <c r="C3" s="16">
        <f>'Data Sheet'!C56</f>
        <v>42825</v>
      </c>
      <c r="D3" s="16">
        <f>'Data Sheet'!D56</f>
        <v>43190</v>
      </c>
      <c r="E3" s="16">
        <f>'Data Sheet'!E56</f>
        <v>43555</v>
      </c>
      <c r="F3" s="16">
        <f>'Data Sheet'!F56</f>
        <v>43921</v>
      </c>
      <c r="G3" s="16">
        <f>'Data Sheet'!G56</f>
        <v>44286</v>
      </c>
      <c r="H3" s="16">
        <f>'Data Sheet'!H56</f>
        <v>44651</v>
      </c>
      <c r="I3" s="16">
        <f>'Data Sheet'!I56</f>
        <v>45016</v>
      </c>
      <c r="J3" s="16">
        <f>'Data Sheet'!J56</f>
        <v>45382</v>
      </c>
      <c r="K3" s="16">
        <f>'Data Sheet'!K56</f>
        <v>45747</v>
      </c>
    </row>
    <row r="4" spans="1:11" x14ac:dyDescent="0.3">
      <c r="A4" s="6" t="s">
        <v>24</v>
      </c>
      <c r="B4" s="19">
        <f>'Data Sheet'!B57</f>
        <v>240</v>
      </c>
      <c r="C4" s="19">
        <f>'Data Sheet'!C57</f>
        <v>223.36</v>
      </c>
      <c r="D4" s="19">
        <f>'Data Sheet'!D57</f>
        <v>243.66</v>
      </c>
      <c r="E4" s="19">
        <f>'Data Sheet'!E57</f>
        <v>243.66</v>
      </c>
      <c r="F4" s="19">
        <f>'Data Sheet'!F57</f>
        <v>243.66</v>
      </c>
      <c r="G4" s="19">
        <f>'Data Sheet'!G57</f>
        <v>243.66</v>
      </c>
      <c r="H4" s="19">
        <f>'Data Sheet'!H57</f>
        <v>243.66</v>
      </c>
      <c r="I4" s="19">
        <f>'Data Sheet'!I57</f>
        <v>730.98</v>
      </c>
      <c r="J4" s="19">
        <f>'Data Sheet'!J57</f>
        <v>730.98</v>
      </c>
      <c r="K4" s="19">
        <f>'Data Sheet'!K57</f>
        <v>730.98</v>
      </c>
    </row>
    <row r="5" spans="1:11" s="6" customFormat="1" x14ac:dyDescent="0.3">
      <c r="A5" s="6" t="s">
        <v>25</v>
      </c>
      <c r="B5" s="19">
        <f>'Data Sheet'!B58</f>
        <v>9006.16</v>
      </c>
      <c r="C5" s="19">
        <f>'Data Sheet'!C58</f>
        <v>7512.41</v>
      </c>
      <c r="D5" s="19">
        <f>'Data Sheet'!D58</f>
        <v>7772.02</v>
      </c>
      <c r="E5" s="19">
        <f>'Data Sheet'!E58</f>
        <v>8967.84</v>
      </c>
      <c r="F5" s="19">
        <f>'Data Sheet'!F58</f>
        <v>9827.8700000000008</v>
      </c>
      <c r="G5" s="19">
        <f>'Data Sheet'!G58</f>
        <v>10815.92</v>
      </c>
      <c r="H5" s="19">
        <f>'Data Sheet'!H58</f>
        <v>12042.27</v>
      </c>
      <c r="I5" s="19">
        <f>'Data Sheet'!I58</f>
        <v>13130.65</v>
      </c>
      <c r="J5" s="19">
        <f>'Data Sheet'!J58</f>
        <v>15595.49</v>
      </c>
      <c r="K5" s="19">
        <f>'Data Sheet'!K58</f>
        <v>19242.91</v>
      </c>
    </row>
    <row r="6" spans="1:11" x14ac:dyDescent="0.3">
      <c r="A6" s="11" t="s">
        <v>71</v>
      </c>
      <c r="B6" s="19">
        <f>'Data Sheet'!B59</f>
        <v>28.39</v>
      </c>
      <c r="C6" s="19">
        <f>'Data Sheet'!C59</f>
        <v>63.58</v>
      </c>
      <c r="D6" s="19">
        <f>'Data Sheet'!D59</f>
        <v>80.36</v>
      </c>
      <c r="E6" s="19">
        <f>'Data Sheet'!E59</f>
        <v>33.630000000000003</v>
      </c>
      <c r="F6" s="19">
        <f>'Data Sheet'!F59</f>
        <v>8.33</v>
      </c>
      <c r="G6" s="19">
        <f>'Data Sheet'!G59</f>
        <v>0</v>
      </c>
      <c r="H6" s="19">
        <f>'Data Sheet'!H59</f>
        <v>52.7</v>
      </c>
      <c r="I6" s="19">
        <f>'Data Sheet'!I59</f>
        <v>61.34</v>
      </c>
      <c r="J6" s="19">
        <f>'Data Sheet'!J59</f>
        <v>62.51</v>
      </c>
      <c r="K6" s="19">
        <f>'Data Sheet'!K59</f>
        <v>61.23</v>
      </c>
    </row>
    <row r="7" spans="1:11" s="6" customFormat="1" x14ac:dyDescent="0.3">
      <c r="A7" s="11" t="s">
        <v>72</v>
      </c>
      <c r="B7" s="19">
        <f>'Data Sheet'!B60</f>
        <v>9330.39</v>
      </c>
      <c r="C7" s="19">
        <f>'Data Sheet'!C60</f>
        <v>9800.2900000000009</v>
      </c>
      <c r="D7" s="19">
        <f>'Data Sheet'!D60</f>
        <v>10868.48</v>
      </c>
      <c r="E7" s="19">
        <f>'Data Sheet'!E60</f>
        <v>11575.45</v>
      </c>
      <c r="F7" s="19">
        <f>'Data Sheet'!F60</f>
        <v>14270.66</v>
      </c>
      <c r="G7" s="19">
        <f>'Data Sheet'!G60</f>
        <v>18434.29</v>
      </c>
      <c r="H7" s="19">
        <f>'Data Sheet'!H60</f>
        <v>21573.51</v>
      </c>
      <c r="I7" s="19">
        <f>'Data Sheet'!I60</f>
        <v>21567.02</v>
      </c>
      <c r="J7" s="19">
        <f>'Data Sheet'!J60</f>
        <v>23135.5</v>
      </c>
      <c r="K7" s="19">
        <f>'Data Sheet'!K60</f>
        <v>20788.45</v>
      </c>
    </row>
    <row r="8" spans="1:11" s="8" customFormat="1" x14ac:dyDescent="0.3">
      <c r="A8" s="8" t="s">
        <v>26</v>
      </c>
      <c r="B8" s="20">
        <f>'Data Sheet'!B61</f>
        <v>18604.939999999999</v>
      </c>
      <c r="C8" s="20">
        <f>'Data Sheet'!C61</f>
        <v>17599.64</v>
      </c>
      <c r="D8" s="20">
        <f>'Data Sheet'!D61</f>
        <v>18964.52</v>
      </c>
      <c r="E8" s="20">
        <f>'Data Sheet'!E61</f>
        <v>20820.580000000002</v>
      </c>
      <c r="F8" s="20">
        <f>'Data Sheet'!F61</f>
        <v>24350.52</v>
      </c>
      <c r="G8" s="20">
        <f>'Data Sheet'!G61</f>
        <v>29493.87</v>
      </c>
      <c r="H8" s="20">
        <f>'Data Sheet'!H61</f>
        <v>33912.14</v>
      </c>
      <c r="I8" s="20">
        <f>'Data Sheet'!I61</f>
        <v>35489.99</v>
      </c>
      <c r="J8" s="20">
        <f>'Data Sheet'!J61</f>
        <v>39524.480000000003</v>
      </c>
      <c r="K8" s="20">
        <f>'Data Sheet'!K61</f>
        <v>40823.57</v>
      </c>
    </row>
    <row r="9" spans="1:11" s="8" customFormat="1" x14ac:dyDescent="0.3">
      <c r="B9" s="20"/>
      <c r="C9" s="20"/>
      <c r="D9" s="20"/>
      <c r="E9" s="20"/>
      <c r="F9" s="20"/>
      <c r="G9" s="20"/>
      <c r="H9" s="20"/>
      <c r="I9" s="20"/>
      <c r="J9" s="20"/>
      <c r="K9" s="20"/>
    </row>
    <row r="10" spans="1:11" x14ac:dyDescent="0.3">
      <c r="A10" s="6" t="s">
        <v>27</v>
      </c>
      <c r="B10" s="19">
        <f>'Data Sheet'!B62</f>
        <v>1231.8399999999999</v>
      </c>
      <c r="C10" s="19">
        <f>'Data Sheet'!C62</f>
        <v>1501.1</v>
      </c>
      <c r="D10" s="19">
        <f>'Data Sheet'!D62</f>
        <v>1839.05</v>
      </c>
      <c r="E10" s="19">
        <f>'Data Sheet'!E62</f>
        <v>2297.6</v>
      </c>
      <c r="F10" s="19">
        <f>'Data Sheet'!F62</f>
        <v>2712.59</v>
      </c>
      <c r="G10" s="19">
        <f>'Data Sheet'!G62</f>
        <v>2652.14</v>
      </c>
      <c r="H10" s="19">
        <f>'Data Sheet'!H62</f>
        <v>2675.26</v>
      </c>
      <c r="I10" s="19">
        <f>'Data Sheet'!I62</f>
        <v>2962.86</v>
      </c>
      <c r="J10" s="19">
        <f>'Data Sheet'!J62</f>
        <v>3035.21</v>
      </c>
      <c r="K10" s="19">
        <f>'Data Sheet'!K62</f>
        <v>3419.23</v>
      </c>
    </row>
    <row r="11" spans="1:11" x14ac:dyDescent="0.3">
      <c r="A11" s="6" t="s">
        <v>28</v>
      </c>
      <c r="B11" s="19">
        <f>'Data Sheet'!B63</f>
        <v>429.79</v>
      </c>
      <c r="C11" s="19">
        <f>'Data Sheet'!C63</f>
        <v>742.81</v>
      </c>
      <c r="D11" s="19">
        <f>'Data Sheet'!D63</f>
        <v>940.05</v>
      </c>
      <c r="E11" s="19">
        <f>'Data Sheet'!E63</f>
        <v>849.03</v>
      </c>
      <c r="F11" s="19">
        <f>'Data Sheet'!F63</f>
        <v>827.98</v>
      </c>
      <c r="G11" s="19">
        <f>'Data Sheet'!G63</f>
        <v>882.68</v>
      </c>
      <c r="H11" s="19">
        <f>'Data Sheet'!H63</f>
        <v>1006.04</v>
      </c>
      <c r="I11" s="19">
        <f>'Data Sheet'!I63</f>
        <v>854.94</v>
      </c>
      <c r="J11" s="19">
        <f>'Data Sheet'!J63</f>
        <v>893.72</v>
      </c>
      <c r="K11" s="19">
        <f>'Data Sheet'!K63</f>
        <v>1051.8</v>
      </c>
    </row>
    <row r="12" spans="1:11" x14ac:dyDescent="0.3">
      <c r="A12" s="6" t="s">
        <v>29</v>
      </c>
      <c r="B12" s="19">
        <f>'Data Sheet'!B64</f>
        <v>462.46</v>
      </c>
      <c r="C12" s="19">
        <f>'Data Sheet'!C64</f>
        <v>490.96</v>
      </c>
      <c r="D12" s="19">
        <f>'Data Sheet'!D64</f>
        <v>937.34</v>
      </c>
      <c r="E12" s="19">
        <f>'Data Sheet'!E64</f>
        <v>964.42</v>
      </c>
      <c r="F12" s="19">
        <f>'Data Sheet'!F64</f>
        <v>1110.32</v>
      </c>
      <c r="G12" s="19">
        <f>'Data Sheet'!G64</f>
        <v>1305.94</v>
      </c>
      <c r="H12" s="19">
        <f>'Data Sheet'!H64</f>
        <v>1572.02</v>
      </c>
      <c r="I12" s="19">
        <f>'Data Sheet'!I64</f>
        <v>649.99</v>
      </c>
      <c r="J12" s="19">
        <f>'Data Sheet'!J64</f>
        <v>682.23</v>
      </c>
      <c r="K12" s="19">
        <f>'Data Sheet'!K64</f>
        <v>742.97</v>
      </c>
    </row>
    <row r="13" spans="1:11" x14ac:dyDescent="0.3">
      <c r="A13" s="11" t="s">
        <v>73</v>
      </c>
      <c r="B13" s="19">
        <f>'Data Sheet'!B65</f>
        <v>16480.849999999999</v>
      </c>
      <c r="C13" s="19">
        <f>'Data Sheet'!C65</f>
        <v>14864.77</v>
      </c>
      <c r="D13" s="19">
        <f>'Data Sheet'!D65</f>
        <v>15248.08</v>
      </c>
      <c r="E13" s="19">
        <f>'Data Sheet'!E65</f>
        <v>16709.53</v>
      </c>
      <c r="F13" s="19">
        <f>'Data Sheet'!F65</f>
        <v>19699.63</v>
      </c>
      <c r="G13" s="19">
        <f>'Data Sheet'!G65</f>
        <v>24653.11</v>
      </c>
      <c r="H13" s="19">
        <f>'Data Sheet'!H65</f>
        <v>28658.82</v>
      </c>
      <c r="I13" s="19">
        <f>'Data Sheet'!I65</f>
        <v>31022.2</v>
      </c>
      <c r="J13" s="19">
        <f>'Data Sheet'!J65</f>
        <v>34913.32</v>
      </c>
      <c r="K13" s="19">
        <f>'Data Sheet'!K65</f>
        <v>35609.57</v>
      </c>
    </row>
    <row r="14" spans="1:11" s="8" customFormat="1" x14ac:dyDescent="0.3">
      <c r="A14" s="8" t="s">
        <v>26</v>
      </c>
      <c r="B14" s="19">
        <f>'Data Sheet'!B66</f>
        <v>18604.939999999999</v>
      </c>
      <c r="C14" s="19">
        <f>'Data Sheet'!C66</f>
        <v>17599.64</v>
      </c>
      <c r="D14" s="19">
        <f>'Data Sheet'!D66</f>
        <v>18964.52</v>
      </c>
      <c r="E14" s="19">
        <f>'Data Sheet'!E66</f>
        <v>20820.580000000002</v>
      </c>
      <c r="F14" s="19">
        <f>'Data Sheet'!F66</f>
        <v>24350.52</v>
      </c>
      <c r="G14" s="19">
        <f>'Data Sheet'!G66</f>
        <v>29493.87</v>
      </c>
      <c r="H14" s="19">
        <f>'Data Sheet'!H66</f>
        <v>33912.14</v>
      </c>
      <c r="I14" s="19">
        <f>'Data Sheet'!I66</f>
        <v>35489.99</v>
      </c>
      <c r="J14" s="19">
        <f>'Data Sheet'!J66</f>
        <v>39524.480000000003</v>
      </c>
      <c r="K14" s="19">
        <f>'Data Sheet'!K66</f>
        <v>40823.57</v>
      </c>
    </row>
    <row r="15" spans="1:11" x14ac:dyDescent="0.3">
      <c r="A15" s="6"/>
      <c r="B15" s="21"/>
      <c r="C15" s="21"/>
      <c r="D15" s="21"/>
      <c r="E15" s="21"/>
      <c r="F15" s="21"/>
      <c r="G15" s="21"/>
      <c r="H15" s="21"/>
      <c r="I15" s="21"/>
      <c r="J15" s="21"/>
      <c r="K15" s="21"/>
    </row>
    <row r="16" spans="1:11" x14ac:dyDescent="0.3">
      <c r="A16" s="29" t="s">
        <v>30</v>
      </c>
      <c r="B16" s="21">
        <f>B13-B7</f>
        <v>7150.4599999999991</v>
      </c>
      <c r="C16" s="21">
        <f t="shared" ref="C16:K16" si="0">C13-C7</f>
        <v>5064.4799999999996</v>
      </c>
      <c r="D16" s="21">
        <f t="shared" si="0"/>
        <v>4379.6000000000004</v>
      </c>
      <c r="E16" s="21">
        <f t="shared" si="0"/>
        <v>5134.0799999999981</v>
      </c>
      <c r="F16" s="21">
        <f t="shared" si="0"/>
        <v>5428.9700000000012</v>
      </c>
      <c r="G16" s="21">
        <f t="shared" si="0"/>
        <v>6218.82</v>
      </c>
      <c r="H16" s="21">
        <f t="shared" si="0"/>
        <v>7085.3100000000013</v>
      </c>
      <c r="I16" s="21">
        <f t="shared" si="0"/>
        <v>9455.18</v>
      </c>
      <c r="J16" s="21">
        <f t="shared" si="0"/>
        <v>11777.82</v>
      </c>
      <c r="K16" s="21">
        <f t="shared" si="0"/>
        <v>14821.119999999999</v>
      </c>
    </row>
    <row r="17" spans="1:11" x14ac:dyDescent="0.3">
      <c r="A17" s="11" t="s">
        <v>44</v>
      </c>
      <c r="B17" s="21">
        <f>'Data Sheet'!B67</f>
        <v>3721.91</v>
      </c>
      <c r="C17" s="21">
        <f>'Data Sheet'!C67</f>
        <v>4368.26</v>
      </c>
      <c r="D17" s="21">
        <f>'Data Sheet'!D67</f>
        <v>5014.3</v>
      </c>
      <c r="E17" s="21">
        <f>'Data Sheet'!E67</f>
        <v>5373.67</v>
      </c>
      <c r="F17" s="21">
        <f>'Data Sheet'!F67</f>
        <v>6724.02</v>
      </c>
      <c r="G17" s="21">
        <f>'Data Sheet'!G67</f>
        <v>6561.99</v>
      </c>
      <c r="H17" s="21">
        <f>'Data Sheet'!H67</f>
        <v>6108.09</v>
      </c>
      <c r="I17" s="21">
        <f>'Data Sheet'!I67</f>
        <v>7033.48</v>
      </c>
      <c r="J17" s="21">
        <f>'Data Sheet'!J67</f>
        <v>7392.38</v>
      </c>
      <c r="K17" s="21">
        <f>'Data Sheet'!K67</f>
        <v>9116.3700000000008</v>
      </c>
    </row>
    <row r="18" spans="1:11" x14ac:dyDescent="0.3">
      <c r="A18" s="11" t="s">
        <v>45</v>
      </c>
      <c r="B18" s="21">
        <f>'Data Sheet'!B68</f>
        <v>4157.6499999999996</v>
      </c>
      <c r="C18" s="21">
        <f>'Data Sheet'!C68</f>
        <v>4885.03</v>
      </c>
      <c r="D18" s="21">
        <f>'Data Sheet'!D68</f>
        <v>4583.37</v>
      </c>
      <c r="E18" s="21">
        <f>'Data Sheet'!E68</f>
        <v>4443.3500000000004</v>
      </c>
      <c r="F18" s="21">
        <f>'Data Sheet'!F68</f>
        <v>3960.51</v>
      </c>
      <c r="G18" s="21">
        <f>'Data Sheet'!G68</f>
        <v>4970.28</v>
      </c>
      <c r="H18" s="21">
        <f>'Data Sheet'!H68</f>
        <v>5594.91</v>
      </c>
      <c r="I18" s="21">
        <f>'Data Sheet'!I68</f>
        <v>6449.75</v>
      </c>
      <c r="J18" s="21">
        <f>'Data Sheet'!J68</f>
        <v>7450.16</v>
      </c>
      <c r="K18" s="21">
        <f>'Data Sheet'!K68</f>
        <v>9120.2099999999991</v>
      </c>
    </row>
    <row r="20" spans="1:11" x14ac:dyDescent="0.3">
      <c r="A20" s="11" t="s">
        <v>46</v>
      </c>
      <c r="B20" s="5">
        <f>IF('Profit &amp; Loss'!B4&gt;0,'Balance Sheet'!B17/('Profit &amp; Loss'!B4/365),0)</f>
        <v>184.73478909457322</v>
      </c>
      <c r="C20" s="5">
        <f>IF('Profit &amp; Loss'!C4&gt;0,'Balance Sheet'!C17/('Profit &amp; Loss'!C4/365),0)</f>
        <v>184.18935607106428</v>
      </c>
      <c r="D20" s="5">
        <f>IF('Profit &amp; Loss'!D4&gt;0,'Balance Sheet'!D17/('Profit &amp; Loss'!D4/365),0)</f>
        <v>175.96910814552729</v>
      </c>
      <c r="E20" s="5">
        <f>IF('Profit &amp; Loss'!E4&gt;0,'Balance Sheet'!E17/('Profit &amp; Loss'!E4/365),0)</f>
        <v>161.243187985699</v>
      </c>
      <c r="F20" s="5">
        <f>IF('Profit &amp; Loss'!F4&gt;0,'Balance Sheet'!F17/('Profit &amp; Loss'!F4/365),0)</f>
        <v>189.26046853443989</v>
      </c>
      <c r="G20" s="5">
        <f>IF('Profit &amp; Loss'!G4&gt;0,'Balance Sheet'!G17/('Profit &amp; Loss'!G4/365),0)</f>
        <v>169.76249035169104</v>
      </c>
      <c r="H20" s="5">
        <f>IF('Profit &amp; Loss'!H4&gt;0,'Balance Sheet'!H17/('Profit &amp; Loss'!H4/365),0)</f>
        <v>145.06941290380513</v>
      </c>
      <c r="I20" s="5">
        <f>IF('Profit &amp; Loss'!I4&gt;0,'Balance Sheet'!I17/('Profit &amp; Loss'!I4/365),0)</f>
        <v>144.75902255723892</v>
      </c>
      <c r="J20" s="5">
        <f>IF('Profit &amp; Loss'!J4&gt;0,'Balance Sheet'!J17/('Profit &amp; Loss'!J4/365),0)</f>
        <v>133.12545637904427</v>
      </c>
      <c r="K20" s="5">
        <f>IF('Profit &amp; Loss'!K4&gt;0,'Balance Sheet'!K17/('Profit &amp; Loss'!K4/365),0)</f>
        <v>139.99369129634499</v>
      </c>
    </row>
    <row r="21" spans="1:11" x14ac:dyDescent="0.3">
      <c r="A21" s="11" t="s">
        <v>47</v>
      </c>
      <c r="B21" s="5">
        <f>IF('Balance Sheet'!B18&gt;0,'Profit &amp; Loss'!B4/'Balance Sheet'!B18,0)</f>
        <v>1.7687323367767853</v>
      </c>
      <c r="C21" s="5">
        <f>IF('Balance Sheet'!C18&gt;0,'Profit &amp; Loss'!C4/'Balance Sheet'!C18,0)</f>
        <v>1.7720239179697974</v>
      </c>
      <c r="D21" s="5">
        <f>IF('Balance Sheet'!D18&gt;0,'Profit &amp; Loss'!D4/'Balance Sheet'!D18,0)</f>
        <v>2.2692473005670499</v>
      </c>
      <c r="E21" s="5">
        <f>IF('Balance Sheet'!E18&gt;0,'Profit &amp; Loss'!E4/'Balance Sheet'!E18,0)</f>
        <v>2.7376123870503108</v>
      </c>
      <c r="F21" s="5">
        <f>IF('Balance Sheet'!F18&gt;0,'Profit &amp; Loss'!F4/'Balance Sheet'!F18,0)</f>
        <v>3.2742424586732515</v>
      </c>
      <c r="G21" s="5">
        <f>IF('Balance Sheet'!G18&gt;0,'Profit &amp; Loss'!G4/'Balance Sheet'!G18,0)</f>
        <v>2.838610702012764</v>
      </c>
      <c r="H21" s="5">
        <f>IF('Balance Sheet'!H18&gt;0,'Profit &amp; Loss'!H4/'Balance Sheet'!H18,0)</f>
        <v>2.7468145153362613</v>
      </c>
      <c r="I21" s="5">
        <f>IF('Balance Sheet'!I18&gt;0,'Profit &amp; Loss'!I4/'Balance Sheet'!I18,0)</f>
        <v>2.7496321562851271</v>
      </c>
      <c r="J21" s="5">
        <f>IF('Balance Sheet'!J18&gt;0,'Profit &amp; Loss'!J4/'Balance Sheet'!J18,0)</f>
        <v>2.7205107004413329</v>
      </c>
      <c r="K21" s="5">
        <f>IF('Balance Sheet'!K18&gt;0,'Profit &amp; Loss'!K4/'Balance Sheet'!K18,0)</f>
        <v>2.6061625773967925</v>
      </c>
    </row>
    <row r="23" spans="1:11" s="8" customFormat="1" x14ac:dyDescent="0.3">
      <c r="A23" s="8" t="s">
        <v>59</v>
      </c>
      <c r="B23" s="14">
        <f>IF(SUM('Balance Sheet'!B4:B5)&gt;0,'Profit &amp; Loss'!B12/SUM('Balance Sheet'!B4:B5),"")</f>
        <v>0.14464274898985094</v>
      </c>
      <c r="C23" s="14">
        <f>IF(SUM('Balance Sheet'!C4:C5)&gt;0,'Profit &amp; Loss'!C12/SUM('Balance Sheet'!C4:C5),"")</f>
        <v>0.19695259812533206</v>
      </c>
      <c r="D23" s="14">
        <f>IF(SUM('Balance Sheet'!D4:D5)&gt;0,'Profit &amp; Loss'!D12/SUM('Balance Sheet'!D4:D5),"")</f>
        <v>0.17861491476705657</v>
      </c>
      <c r="E23" s="14">
        <f>IF(SUM('Balance Sheet'!E4:E5)&gt;0,'Profit &amp; Loss'!E12/SUM('Balance Sheet'!E4:E5),"")</f>
        <v>0.2047874938935027</v>
      </c>
      <c r="F23" s="14">
        <f>IF(SUM('Balance Sheet'!F4:F5)&gt;0,'Profit &amp; Loss'!F12/SUM('Balance Sheet'!F4:F5),"")</f>
        <v>0.1810896656218072</v>
      </c>
      <c r="G23" s="14">
        <f>IF(SUM('Balance Sheet'!G4:G5)&gt;0,'Profit &amp; Loss'!G12/SUM('Balance Sheet'!G4:G5),"")</f>
        <v>0.18978478387063524</v>
      </c>
      <c r="H23" s="14">
        <f>IF(SUM('Balance Sheet'!H4:H5)&gt;0,'Profit &amp; Loss'!H12/SUM('Balance Sheet'!H4:H5),"")</f>
        <v>0.19525343217810942</v>
      </c>
      <c r="I23" s="14">
        <f>IF(SUM('Balance Sheet'!I4:I5)&gt;0,'Profit &amp; Loss'!I12/SUM('Balance Sheet'!I4:I5),"")</f>
        <v>0.2153007979581045</v>
      </c>
      <c r="J23" s="14">
        <f>IF(SUM('Balance Sheet'!J4:J5)&gt;0,'Profit &amp; Loss'!J12/SUM('Balance Sheet'!J4:J5),"")</f>
        <v>0.24405275604585683</v>
      </c>
      <c r="K23" s="14">
        <f>IF(SUM('Balance Sheet'!K4:K5)&gt;0,'Profit &amp; Loss'!K12/SUM('Balance Sheet'!K4:K5),"")</f>
        <v>0.26641981106334317</v>
      </c>
    </row>
    <row r="24" spans="1:11" s="8" customFormat="1" x14ac:dyDescent="0.3">
      <c r="A24" s="8" t="s">
        <v>60</v>
      </c>
      <c r="B24" s="14"/>
      <c r="C24" s="14">
        <f>IF((B4+B5+B6+C4+C5+C6)&gt;0,('Profit &amp; Loss'!C10+'Profit &amp; Loss'!C9)*2/(B4+B5+B6+C4+C5+C6),"")</f>
        <v>0.23432724802183447</v>
      </c>
      <c r="D24" s="14">
        <f>IF((C4+C5+C6+D4+D5+D6)&gt;0,('Profit &amp; Loss'!D10+'Profit &amp; Loss'!D9)*2/(C4+C5+C6+D4+D5+D6),"")</f>
        <v>0.247038921347636</v>
      </c>
      <c r="E24" s="14">
        <f>IF((D4+D5+D6+E4+E5+E6)&gt;0,('Profit &amp; Loss'!E10+'Profit &amp; Loss'!E9)*2/(D4+D5+D6+E4+E5+E6),"")</f>
        <v>0.30497019520597513</v>
      </c>
      <c r="F24" s="14">
        <f>IF((E4+E5+E6+F4+F5+F6)&gt;0,('Profit &amp; Loss'!F10+'Profit &amp; Loss'!F9)*2/(E4+E5+E6+F4+F5+F6),"")</f>
        <v>0.25728965448365043</v>
      </c>
      <c r="G24" s="14">
        <f>IF((F4+F5+F6+G4+G5+G6)&gt;0,('Profit &amp; Loss'!G10+'Profit &amp; Loss'!G9)*2/(F4+F5+F6+G4+G5+G6),"")</f>
        <v>0.27923067025427351</v>
      </c>
      <c r="H24" s="14">
        <f>IF((G4+G5+G6+H4+H5+H6)&gt;0,('Profit &amp; Loss'!H10+'Profit &amp; Loss'!H9)*2/(G4+G5+G6+H4+H5+H6),"")</f>
        <v>0.27137033132021632</v>
      </c>
      <c r="I24" s="14">
        <f>IF((H4+H5+H6+I4+I5+I6)&gt;0,('Profit &amp; Loss'!I10+'Profit &amp; Loss'!I9)*2/(H4+H5+H6+I4+I5+I6),"")</f>
        <v>0.30019039205532028</v>
      </c>
      <c r="J24" s="14">
        <f>IF((I4+I5+I6+J4+J5+J6)&gt;0,('Profit &amp; Loss'!J10+'Profit &amp; Loss'!J9)*2/(I4+I5+I6+J4+J5+J6),"")</f>
        <v>0.34826330869508565</v>
      </c>
      <c r="K24" s="14">
        <f>IF((J4+J5+J6+K4+K5+K6)&gt;0,('Profit &amp; Loss'!K10+'Profit &amp; Loss'!K9)*2/(J4+J5+J6+K4+K5+K6),"")</f>
        <v>0.3904848712802787</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BHARAT ELECTRONICS LTD</v>
      </c>
      <c r="E1" t="str">
        <f>UPDATE</f>
        <v/>
      </c>
      <c r="F1"/>
      <c r="J1" s="4" t="s">
        <v>1</v>
      </c>
      <c r="K1" s="4"/>
    </row>
    <row r="3" spans="1:11" s="2" customFormat="1" x14ac:dyDescent="0.3">
      <c r="A3" s="15" t="s">
        <v>2</v>
      </c>
      <c r="B3" s="16">
        <f>'Data Sheet'!B81</f>
        <v>42460</v>
      </c>
      <c r="C3" s="16">
        <f>'Data Sheet'!C81</f>
        <v>42825</v>
      </c>
      <c r="D3" s="16">
        <f>'Data Sheet'!D81</f>
        <v>43190</v>
      </c>
      <c r="E3" s="16">
        <f>'Data Sheet'!E81</f>
        <v>43555</v>
      </c>
      <c r="F3" s="16">
        <f>'Data Sheet'!F81</f>
        <v>43921</v>
      </c>
      <c r="G3" s="16">
        <f>'Data Sheet'!G81</f>
        <v>44286</v>
      </c>
      <c r="H3" s="16">
        <f>'Data Sheet'!H81</f>
        <v>44651</v>
      </c>
      <c r="I3" s="16">
        <f>'Data Sheet'!I81</f>
        <v>45016</v>
      </c>
      <c r="J3" s="16">
        <f>'Data Sheet'!J81</f>
        <v>45382</v>
      </c>
      <c r="K3" s="16">
        <f>'Data Sheet'!K81</f>
        <v>45747</v>
      </c>
    </row>
    <row r="4" spans="1:11" s="8" customFormat="1" x14ac:dyDescent="0.3">
      <c r="A4" s="8" t="s">
        <v>32</v>
      </c>
      <c r="B4" s="1">
        <f>'Data Sheet'!B82</f>
        <v>2260.06</v>
      </c>
      <c r="C4" s="1">
        <f>'Data Sheet'!C82</f>
        <v>-60.94</v>
      </c>
      <c r="D4" s="1">
        <f>'Data Sheet'!D82</f>
        <v>-686.59</v>
      </c>
      <c r="E4" s="1">
        <f>'Data Sheet'!E82</f>
        <v>1513.88</v>
      </c>
      <c r="F4" s="1">
        <f>'Data Sheet'!F82</f>
        <v>2570.41</v>
      </c>
      <c r="G4" s="1">
        <f>'Data Sheet'!G82</f>
        <v>5093.22</v>
      </c>
      <c r="H4" s="1">
        <f>'Data Sheet'!H82</f>
        <v>4207.22</v>
      </c>
      <c r="I4" s="1">
        <f>'Data Sheet'!I82</f>
        <v>1266.8599999999999</v>
      </c>
      <c r="J4" s="1">
        <f>'Data Sheet'!J82</f>
        <v>4659.49</v>
      </c>
      <c r="K4" s="1">
        <f>'Data Sheet'!K82</f>
        <v>586.62</v>
      </c>
    </row>
    <row r="5" spans="1:11" x14ac:dyDescent="0.3">
      <c r="A5" s="6" t="s">
        <v>33</v>
      </c>
      <c r="B5" s="9">
        <f>'Data Sheet'!B83</f>
        <v>-1470.34</v>
      </c>
      <c r="C5" s="9">
        <f>'Data Sheet'!C83</f>
        <v>3114.65</v>
      </c>
      <c r="D5" s="9">
        <f>'Data Sheet'!D83</f>
        <v>-6.41</v>
      </c>
      <c r="E5" s="9">
        <f>'Data Sheet'!E83</f>
        <v>-895.94</v>
      </c>
      <c r="F5" s="9">
        <f>'Data Sheet'!F83</f>
        <v>-648.96</v>
      </c>
      <c r="G5" s="9">
        <f>'Data Sheet'!G83</f>
        <v>-2595.2199999999998</v>
      </c>
      <c r="H5" s="9">
        <f>'Data Sheet'!H83</f>
        <v>-4871.66</v>
      </c>
      <c r="I5" s="9">
        <f>'Data Sheet'!I83</f>
        <v>2690.84</v>
      </c>
      <c r="J5" s="9">
        <f>'Data Sheet'!J83</f>
        <v>-5923.85</v>
      </c>
      <c r="K5" s="9">
        <f>'Data Sheet'!K83</f>
        <v>616.94000000000005</v>
      </c>
    </row>
    <row r="6" spans="1:11" x14ac:dyDescent="0.3">
      <c r="A6" s="6" t="s">
        <v>34</v>
      </c>
      <c r="B6" s="9">
        <f>'Data Sheet'!B84</f>
        <v>-317.7</v>
      </c>
      <c r="C6" s="9">
        <f>'Data Sheet'!C84</f>
        <v>-2856.8</v>
      </c>
      <c r="D6" s="9">
        <f>'Data Sheet'!D84</f>
        <v>-1202.3800000000001</v>
      </c>
      <c r="E6" s="9">
        <f>'Data Sheet'!E84</f>
        <v>-662.67</v>
      </c>
      <c r="F6" s="9">
        <f>'Data Sheet'!F84</f>
        <v>-1060.52</v>
      </c>
      <c r="G6" s="9">
        <f>'Data Sheet'!G84</f>
        <v>-1075.73</v>
      </c>
      <c r="H6" s="9">
        <f>'Data Sheet'!H84</f>
        <v>-1077.5999999999999</v>
      </c>
      <c r="I6" s="9">
        <f>'Data Sheet'!I84</f>
        <v>-1312.87</v>
      </c>
      <c r="J6" s="9">
        <f>'Data Sheet'!J84</f>
        <v>-1475.01</v>
      </c>
      <c r="K6" s="9">
        <f>'Data Sheet'!K84</f>
        <v>-1696.43</v>
      </c>
    </row>
    <row r="7" spans="1:11" s="8" customFormat="1" x14ac:dyDescent="0.3">
      <c r="A7" s="8" t="s">
        <v>35</v>
      </c>
      <c r="B7" s="1">
        <f>'Data Sheet'!B85</f>
        <v>472.02</v>
      </c>
      <c r="C7" s="1">
        <f>'Data Sheet'!C85</f>
        <v>196.91</v>
      </c>
      <c r="D7" s="1">
        <f>'Data Sheet'!D85</f>
        <v>-1895.38</v>
      </c>
      <c r="E7" s="1">
        <f>'Data Sheet'!E85</f>
        <v>-44.73</v>
      </c>
      <c r="F7" s="1">
        <f>'Data Sheet'!F85</f>
        <v>860.93</v>
      </c>
      <c r="G7" s="1">
        <f>'Data Sheet'!G85</f>
        <v>1422.27</v>
      </c>
      <c r="H7" s="1">
        <f>'Data Sheet'!H85</f>
        <v>-1742.04</v>
      </c>
      <c r="I7" s="1">
        <f>'Data Sheet'!I85</f>
        <v>2644.83</v>
      </c>
      <c r="J7" s="1">
        <f>'Data Sheet'!J85</f>
        <v>-2739.37</v>
      </c>
      <c r="K7" s="1">
        <f>'Data Sheet'!K85</f>
        <v>-492.87</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F2" activePane="bottomRight" state="frozen"/>
      <selection activeCell="C4" sqref="C4"/>
      <selection pane="topRight" activeCell="C4" sqref="C4"/>
      <selection pane="bottomLeft" activeCell="C4" sqref="C4"/>
      <selection pane="bottomRight" activeCell="K37" sqref="K37"/>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63</v>
      </c>
      <c r="E1" s="365" t="str">
        <f>IF(B2&lt;&gt;B3, "A NEW VERSION OF THE WORKSHEET IS AVAILABLE", "")</f>
        <v/>
      </c>
      <c r="F1" s="365"/>
      <c r="G1" s="365"/>
      <c r="H1" s="365"/>
      <c r="I1" s="365"/>
      <c r="J1" s="365"/>
      <c r="K1" s="365"/>
    </row>
    <row r="2" spans="1:11" x14ac:dyDescent="0.3">
      <c r="A2" s="1" t="s">
        <v>61</v>
      </c>
      <c r="B2" s="5">
        <v>2.1</v>
      </c>
      <c r="E2" s="366" t="s">
        <v>36</v>
      </c>
      <c r="F2" s="366"/>
      <c r="G2" s="366"/>
      <c r="H2" s="366"/>
      <c r="I2" s="366"/>
      <c r="J2" s="366"/>
      <c r="K2" s="366"/>
    </row>
    <row r="3" spans="1:11" x14ac:dyDescent="0.3">
      <c r="A3" s="1" t="s">
        <v>62</v>
      </c>
      <c r="B3" s="5">
        <v>2.1</v>
      </c>
    </row>
    <row r="4" spans="1:11" x14ac:dyDescent="0.3">
      <c r="A4" s="1"/>
    </row>
    <row r="5" spans="1:11" x14ac:dyDescent="0.3">
      <c r="A5" s="1" t="s">
        <v>64</v>
      </c>
    </row>
    <row r="6" spans="1:11" x14ac:dyDescent="0.3">
      <c r="A6" s="5" t="s">
        <v>42</v>
      </c>
      <c r="B6" s="5">
        <f>IF(B9&gt;0, B9/B8, 0)</f>
        <v>730.97807839795485</v>
      </c>
    </row>
    <row r="7" spans="1:11" x14ac:dyDescent="0.3">
      <c r="A7" s="5" t="s">
        <v>31</v>
      </c>
      <c r="B7">
        <v>1</v>
      </c>
    </row>
    <row r="8" spans="1:11" x14ac:dyDescent="0.3">
      <c r="A8" s="5" t="s">
        <v>43</v>
      </c>
      <c r="B8">
        <v>469.4</v>
      </c>
    </row>
    <row r="9" spans="1:11" x14ac:dyDescent="0.3">
      <c r="A9" s="5" t="s">
        <v>79</v>
      </c>
      <c r="B9">
        <v>343121.11</v>
      </c>
    </row>
    <row r="15" spans="1:11" x14ac:dyDescent="0.3">
      <c r="A15" s="1" t="s">
        <v>37</v>
      </c>
    </row>
    <row r="16" spans="1:11" s="24" customFormat="1" x14ac:dyDescent="0.3">
      <c r="A16" s="23" t="s">
        <v>38</v>
      </c>
      <c r="B16" s="16">
        <v>42460</v>
      </c>
      <c r="C16" s="16">
        <v>42825</v>
      </c>
      <c r="D16" s="16">
        <v>43190</v>
      </c>
      <c r="E16" s="16">
        <v>43555</v>
      </c>
      <c r="F16" s="16">
        <v>43921</v>
      </c>
      <c r="G16" s="16">
        <v>44286</v>
      </c>
      <c r="H16" s="16">
        <v>44651</v>
      </c>
      <c r="I16" s="16">
        <v>45016</v>
      </c>
      <c r="J16" s="16">
        <v>45382</v>
      </c>
      <c r="K16" s="16">
        <v>45747</v>
      </c>
    </row>
    <row r="17" spans="1:11" s="9" customFormat="1" x14ac:dyDescent="0.3">
      <c r="A17" s="9" t="s">
        <v>6</v>
      </c>
      <c r="B17">
        <v>7353.77</v>
      </c>
      <c r="C17">
        <v>8656.39</v>
      </c>
      <c r="D17">
        <v>10400.799999999999</v>
      </c>
      <c r="E17">
        <v>12164.17</v>
      </c>
      <c r="F17">
        <v>12967.67</v>
      </c>
      <c r="G17">
        <v>14108.69</v>
      </c>
      <c r="H17">
        <v>15368.18</v>
      </c>
      <c r="I17">
        <v>17734.439999999999</v>
      </c>
      <c r="J17">
        <v>20268.240000000002</v>
      </c>
      <c r="K17">
        <v>23768.75</v>
      </c>
    </row>
    <row r="18" spans="1:11" s="9" customFormat="1" x14ac:dyDescent="0.3">
      <c r="A18" s="5" t="s">
        <v>80</v>
      </c>
      <c r="B18">
        <v>4019.3</v>
      </c>
      <c r="C18">
        <v>4800.41</v>
      </c>
      <c r="D18">
        <v>5070.74</v>
      </c>
      <c r="E18">
        <v>6037.64</v>
      </c>
      <c r="F18">
        <v>6820.23</v>
      </c>
      <c r="G18">
        <v>7911.37</v>
      </c>
      <c r="H18">
        <v>9146.85</v>
      </c>
      <c r="I18">
        <v>10183.86</v>
      </c>
      <c r="J18">
        <v>11138.04</v>
      </c>
      <c r="K18">
        <v>13008.59</v>
      </c>
    </row>
    <row r="19" spans="1:11" s="9" customFormat="1" x14ac:dyDescent="0.3">
      <c r="A19" s="5" t="s">
        <v>81</v>
      </c>
      <c r="B19">
        <v>232.71</v>
      </c>
      <c r="C19">
        <v>420.06</v>
      </c>
      <c r="D19">
        <v>-410.89</v>
      </c>
      <c r="E19">
        <v>130.68</v>
      </c>
      <c r="F19">
        <v>-249.31</v>
      </c>
      <c r="G19">
        <v>124.69</v>
      </c>
      <c r="H19">
        <v>280.27999999999997</v>
      </c>
      <c r="I19">
        <v>393.28</v>
      </c>
      <c r="J19">
        <v>561.72</v>
      </c>
      <c r="K19">
        <v>821.36</v>
      </c>
    </row>
    <row r="20" spans="1:11" s="9" customFormat="1" x14ac:dyDescent="0.3">
      <c r="A20" s="5" t="s">
        <v>82</v>
      </c>
      <c r="B20">
        <v>45.85</v>
      </c>
      <c r="C20">
        <v>37.99</v>
      </c>
      <c r="D20">
        <v>37.78</v>
      </c>
      <c r="E20">
        <v>43.88</v>
      </c>
      <c r="F20">
        <v>41.6</v>
      </c>
      <c r="G20">
        <v>38.119999999999997</v>
      </c>
      <c r="H20">
        <v>43.13</v>
      </c>
      <c r="I20">
        <v>46.81</v>
      </c>
      <c r="J20">
        <v>57.21</v>
      </c>
      <c r="K20">
        <v>55.85</v>
      </c>
    </row>
    <row r="21" spans="1:11" s="9" customFormat="1" x14ac:dyDescent="0.3">
      <c r="A21" s="5" t="s">
        <v>83</v>
      </c>
      <c r="B21">
        <v>153.07</v>
      </c>
      <c r="C21">
        <v>129.58000000000001</v>
      </c>
      <c r="D21">
        <v>154.44</v>
      </c>
      <c r="E21">
        <v>144.1</v>
      </c>
      <c r="F21">
        <v>140.16999999999999</v>
      </c>
      <c r="G21">
        <v>168.78</v>
      </c>
      <c r="H21">
        <v>183.7</v>
      </c>
      <c r="I21">
        <v>184.06</v>
      </c>
      <c r="J21">
        <v>180.18</v>
      </c>
      <c r="K21">
        <v>339.14</v>
      </c>
    </row>
    <row r="22" spans="1:11" s="9" customFormat="1" x14ac:dyDescent="0.3">
      <c r="A22" s="5" t="s">
        <v>84</v>
      </c>
      <c r="B22">
        <v>1267.21</v>
      </c>
      <c r="C22">
        <v>1559.87</v>
      </c>
      <c r="D22">
        <v>1788.07</v>
      </c>
      <c r="E22">
        <v>1895.63</v>
      </c>
      <c r="F22">
        <v>2075.09</v>
      </c>
      <c r="G22">
        <v>1956.16</v>
      </c>
      <c r="H22">
        <v>2128.0100000000002</v>
      </c>
      <c r="I22">
        <v>2317.34</v>
      </c>
      <c r="J22">
        <v>2489.4899999999998</v>
      </c>
      <c r="K22">
        <v>2760.63</v>
      </c>
    </row>
    <row r="23" spans="1:11" s="9" customFormat="1" x14ac:dyDescent="0.3">
      <c r="A23" s="5" t="s">
        <v>85</v>
      </c>
      <c r="B23">
        <v>196.28</v>
      </c>
      <c r="C23">
        <v>214.95</v>
      </c>
      <c r="D23">
        <v>253.59</v>
      </c>
      <c r="E23">
        <v>290.54000000000002</v>
      </c>
      <c r="F23">
        <v>263.08</v>
      </c>
      <c r="G23">
        <v>326.69</v>
      </c>
      <c r="H23">
        <v>215.55</v>
      </c>
      <c r="I23">
        <v>278.86</v>
      </c>
      <c r="J23">
        <v>333.95</v>
      </c>
      <c r="K23">
        <v>364.85</v>
      </c>
    </row>
    <row r="24" spans="1:11" s="9" customFormat="1" x14ac:dyDescent="0.3">
      <c r="A24" s="5" t="s">
        <v>86</v>
      </c>
      <c r="B24">
        <v>511.74</v>
      </c>
      <c r="C24">
        <v>541.69000000000005</v>
      </c>
      <c r="D24">
        <v>645.91</v>
      </c>
      <c r="E24">
        <v>973.65</v>
      </c>
      <c r="F24">
        <v>619.66999999999996</v>
      </c>
      <c r="G24">
        <v>618.51</v>
      </c>
      <c r="H24">
        <v>586.84</v>
      </c>
      <c r="I24">
        <v>1027.03</v>
      </c>
      <c r="J24">
        <v>1579.76</v>
      </c>
      <c r="K24">
        <v>1224.5</v>
      </c>
    </row>
    <row r="25" spans="1:11" s="9" customFormat="1" x14ac:dyDescent="0.3">
      <c r="A25" s="9" t="s">
        <v>9</v>
      </c>
      <c r="B25">
        <v>572.64</v>
      </c>
      <c r="C25">
        <v>420.11</v>
      </c>
      <c r="D25">
        <v>195.73</v>
      </c>
      <c r="E25">
        <v>72.989999999999995</v>
      </c>
      <c r="F25">
        <v>99.4</v>
      </c>
      <c r="G25">
        <v>124.96</v>
      </c>
      <c r="H25">
        <v>231.54</v>
      </c>
      <c r="I25">
        <v>280.8</v>
      </c>
      <c r="J25">
        <v>670.14</v>
      </c>
      <c r="K25">
        <v>742.36</v>
      </c>
    </row>
    <row r="26" spans="1:11" s="9" customFormat="1" x14ac:dyDescent="0.3">
      <c r="A26" s="9" t="s">
        <v>10</v>
      </c>
      <c r="B26">
        <v>191.96</v>
      </c>
      <c r="C26">
        <v>211.63</v>
      </c>
      <c r="D26">
        <v>271.72000000000003</v>
      </c>
      <c r="E26">
        <v>338.13</v>
      </c>
      <c r="F26">
        <v>371.86</v>
      </c>
      <c r="G26">
        <v>387.32</v>
      </c>
      <c r="H26">
        <v>401.13</v>
      </c>
      <c r="I26">
        <v>428.82</v>
      </c>
      <c r="J26">
        <v>443.2</v>
      </c>
      <c r="K26">
        <v>467.38</v>
      </c>
    </row>
    <row r="27" spans="1:11" s="9" customFormat="1" x14ac:dyDescent="0.3">
      <c r="A27" s="9" t="s">
        <v>11</v>
      </c>
      <c r="B27">
        <v>9.74</v>
      </c>
      <c r="C27">
        <v>17.87</v>
      </c>
      <c r="D27">
        <v>6.36</v>
      </c>
      <c r="E27">
        <v>15.93</v>
      </c>
      <c r="F27">
        <v>7.66</v>
      </c>
      <c r="G27">
        <v>9.61</v>
      </c>
      <c r="H27">
        <v>8.5500000000000007</v>
      </c>
      <c r="I27">
        <v>18.829999999999998</v>
      </c>
      <c r="J27">
        <v>12.06</v>
      </c>
      <c r="K27">
        <v>12.53</v>
      </c>
    </row>
    <row r="28" spans="1:11" s="9" customFormat="1" x14ac:dyDescent="0.3">
      <c r="A28" s="9" t="s">
        <v>12</v>
      </c>
      <c r="B28">
        <v>1763.97</v>
      </c>
      <c r="C28">
        <v>1982.57</v>
      </c>
      <c r="D28">
        <v>1957.03</v>
      </c>
      <c r="E28">
        <v>2628.34</v>
      </c>
      <c r="F28">
        <v>2478.4</v>
      </c>
      <c r="G28">
        <v>2941.78</v>
      </c>
      <c r="H28">
        <v>3166.24</v>
      </c>
      <c r="I28">
        <v>3922.91</v>
      </c>
      <c r="J28">
        <v>5266.21</v>
      </c>
      <c r="K28">
        <v>7099</v>
      </c>
    </row>
    <row r="29" spans="1:11" s="9" customFormat="1" x14ac:dyDescent="0.3">
      <c r="A29" s="9" t="s">
        <v>13</v>
      </c>
      <c r="B29">
        <v>427.22</v>
      </c>
      <c r="C29">
        <v>485.54</v>
      </c>
      <c r="D29">
        <v>549.78</v>
      </c>
      <c r="E29">
        <v>780.31</v>
      </c>
      <c r="F29">
        <v>685.77</v>
      </c>
      <c r="G29">
        <v>872.44</v>
      </c>
      <c r="H29">
        <v>811.78</v>
      </c>
      <c r="I29">
        <v>982.56</v>
      </c>
      <c r="J29">
        <v>1323.1</v>
      </c>
      <c r="K29">
        <v>1811.85</v>
      </c>
    </row>
    <row r="30" spans="1:11" s="9" customFormat="1" x14ac:dyDescent="0.3">
      <c r="A30" s="9" t="s">
        <v>14</v>
      </c>
      <c r="B30">
        <v>1337.39</v>
      </c>
      <c r="C30">
        <v>1523.58</v>
      </c>
      <c r="D30">
        <v>1431.72</v>
      </c>
      <c r="E30">
        <v>1886.4</v>
      </c>
      <c r="F30">
        <v>1823.85</v>
      </c>
      <c r="G30">
        <v>2098.94</v>
      </c>
      <c r="H30">
        <v>2398.87</v>
      </c>
      <c r="I30">
        <v>2984.42</v>
      </c>
      <c r="J30">
        <v>3984.52</v>
      </c>
      <c r="K30">
        <v>5321.44</v>
      </c>
    </row>
    <row r="31" spans="1:11" s="9" customFormat="1" x14ac:dyDescent="0.3">
      <c r="A31" s="9" t="s">
        <v>70</v>
      </c>
      <c r="B31">
        <v>408</v>
      </c>
      <c r="C31">
        <v>502.56</v>
      </c>
      <c r="D31">
        <v>487.32</v>
      </c>
      <c r="E31">
        <v>828.44</v>
      </c>
      <c r="F31">
        <v>682.25</v>
      </c>
      <c r="G31">
        <v>974.64</v>
      </c>
      <c r="H31">
        <v>1096.47</v>
      </c>
      <c r="I31">
        <v>1315.76</v>
      </c>
      <c r="J31">
        <v>1608.16</v>
      </c>
      <c r="K31">
        <v>1754.35</v>
      </c>
    </row>
    <row r="32" spans="1:11" s="9" customFormat="1" x14ac:dyDescent="0.3"/>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45199</v>
      </c>
      <c r="C41" s="16">
        <v>45291</v>
      </c>
      <c r="D41" s="16">
        <v>45382</v>
      </c>
      <c r="E41" s="16">
        <v>45473</v>
      </c>
      <c r="F41" s="16">
        <v>45565</v>
      </c>
      <c r="G41" s="16">
        <v>45657</v>
      </c>
      <c r="H41" s="16">
        <v>45747</v>
      </c>
      <c r="I41" s="16">
        <v>45838</v>
      </c>
      <c r="J41" s="16">
        <v>45930</v>
      </c>
      <c r="K41" s="16">
        <v>46022</v>
      </c>
    </row>
    <row r="42" spans="1:11" s="9" customFormat="1" x14ac:dyDescent="0.3">
      <c r="A42" s="9" t="s">
        <v>6</v>
      </c>
      <c r="B42">
        <v>4009.06</v>
      </c>
      <c r="C42">
        <v>4162.16</v>
      </c>
      <c r="D42">
        <v>8564.08</v>
      </c>
      <c r="E42">
        <v>4243.57</v>
      </c>
      <c r="F42">
        <v>4604.8999999999996</v>
      </c>
      <c r="G42">
        <v>5770.69</v>
      </c>
      <c r="H42">
        <v>9149.59</v>
      </c>
      <c r="I42">
        <v>4439.74</v>
      </c>
      <c r="J42">
        <v>5792.09</v>
      </c>
      <c r="K42">
        <v>7153.85</v>
      </c>
    </row>
    <row r="43" spans="1:11" s="9" customFormat="1" x14ac:dyDescent="0.3">
      <c r="A43" s="9" t="s">
        <v>7</v>
      </c>
      <c r="B43">
        <v>2994.89</v>
      </c>
      <c r="C43">
        <v>3089.66</v>
      </c>
      <c r="D43">
        <v>6276.85</v>
      </c>
      <c r="E43">
        <v>3295.37</v>
      </c>
      <c r="F43">
        <v>3204.95</v>
      </c>
      <c r="G43">
        <v>4101.2</v>
      </c>
      <c r="H43">
        <v>6333.53</v>
      </c>
      <c r="I43">
        <v>3201.47</v>
      </c>
      <c r="J43">
        <v>4089.92</v>
      </c>
      <c r="K43">
        <v>5026.6099999999997</v>
      </c>
    </row>
    <row r="44" spans="1:11" s="9" customFormat="1" x14ac:dyDescent="0.3">
      <c r="A44" s="9" t="s">
        <v>9</v>
      </c>
      <c r="B44">
        <v>137.06</v>
      </c>
      <c r="C44">
        <v>167.42</v>
      </c>
      <c r="D44">
        <v>225.43</v>
      </c>
      <c r="E44">
        <v>203.58</v>
      </c>
      <c r="F44">
        <v>157.76</v>
      </c>
      <c r="G44">
        <v>186.38</v>
      </c>
      <c r="H44">
        <v>194.64</v>
      </c>
      <c r="I44">
        <v>163.32</v>
      </c>
      <c r="J44">
        <v>153.91999999999999</v>
      </c>
      <c r="K44">
        <v>138.54</v>
      </c>
    </row>
    <row r="45" spans="1:11" s="9" customFormat="1" x14ac:dyDescent="0.3">
      <c r="A45" s="9" t="s">
        <v>10</v>
      </c>
      <c r="B45">
        <v>108.26</v>
      </c>
      <c r="C45">
        <v>107.46</v>
      </c>
      <c r="D45">
        <v>118.54</v>
      </c>
      <c r="E45">
        <v>107.68</v>
      </c>
      <c r="F45">
        <v>111.19</v>
      </c>
      <c r="G45">
        <v>110.93</v>
      </c>
      <c r="H45">
        <v>137.58000000000001</v>
      </c>
      <c r="I45">
        <v>120.79</v>
      </c>
      <c r="J45">
        <v>126.49</v>
      </c>
      <c r="K45">
        <v>135.44</v>
      </c>
    </row>
    <row r="46" spans="1:11" s="9" customFormat="1" x14ac:dyDescent="0.3">
      <c r="A46" s="9" t="s">
        <v>11</v>
      </c>
      <c r="B46">
        <v>1.51</v>
      </c>
      <c r="C46">
        <v>0.51</v>
      </c>
      <c r="D46">
        <v>4.05</v>
      </c>
      <c r="E46">
        <v>1.18</v>
      </c>
      <c r="F46">
        <v>1.32</v>
      </c>
      <c r="G46">
        <v>1.32</v>
      </c>
      <c r="H46">
        <v>5.86</v>
      </c>
      <c r="I46">
        <v>1.44</v>
      </c>
      <c r="J46">
        <v>1.65</v>
      </c>
      <c r="K46">
        <v>2.0299999999999998</v>
      </c>
    </row>
    <row r="47" spans="1:11" s="9" customFormat="1" x14ac:dyDescent="0.3">
      <c r="A47" s="9" t="s">
        <v>12</v>
      </c>
      <c r="B47">
        <v>1041.46</v>
      </c>
      <c r="C47">
        <v>1131.95</v>
      </c>
      <c r="D47">
        <v>2390.0700000000002</v>
      </c>
      <c r="E47">
        <v>1042.92</v>
      </c>
      <c r="F47">
        <v>1445.2</v>
      </c>
      <c r="G47">
        <v>1743.62</v>
      </c>
      <c r="H47">
        <v>2867.26</v>
      </c>
      <c r="I47">
        <v>1279.3599999999999</v>
      </c>
      <c r="J47">
        <v>1727.95</v>
      </c>
      <c r="K47">
        <v>2128.31</v>
      </c>
    </row>
    <row r="48" spans="1:11" s="9" customFormat="1" x14ac:dyDescent="0.3">
      <c r="A48" s="9" t="s">
        <v>13</v>
      </c>
      <c r="B48">
        <v>260.73</v>
      </c>
      <c r="C48">
        <v>283.83</v>
      </c>
      <c r="D48">
        <v>604.41</v>
      </c>
      <c r="E48">
        <v>261.93</v>
      </c>
      <c r="F48">
        <v>361.32</v>
      </c>
      <c r="G48">
        <v>442.35</v>
      </c>
      <c r="H48">
        <v>746.25</v>
      </c>
      <c r="I48">
        <v>318.69</v>
      </c>
      <c r="J48">
        <v>449.53</v>
      </c>
      <c r="K48">
        <v>558.12</v>
      </c>
    </row>
    <row r="49" spans="1:11" s="9" customFormat="1" x14ac:dyDescent="0.3">
      <c r="A49" s="9" t="s">
        <v>14</v>
      </c>
      <c r="B49">
        <v>789.35</v>
      </c>
      <c r="C49">
        <v>859.58</v>
      </c>
      <c r="D49">
        <v>1797.11</v>
      </c>
      <c r="E49">
        <v>791</v>
      </c>
      <c r="F49">
        <v>1092.45</v>
      </c>
      <c r="G49">
        <v>1310.95</v>
      </c>
      <c r="H49">
        <v>2127.04</v>
      </c>
      <c r="I49">
        <v>969.91</v>
      </c>
      <c r="J49">
        <v>1287.77</v>
      </c>
      <c r="K49">
        <v>1579.1</v>
      </c>
    </row>
    <row r="50" spans="1:11" x14ac:dyDescent="0.3">
      <c r="A50" s="9" t="s">
        <v>8</v>
      </c>
      <c r="B50">
        <v>1014.17</v>
      </c>
      <c r="C50">
        <v>1072.5</v>
      </c>
      <c r="D50">
        <v>2287.23</v>
      </c>
      <c r="E50">
        <v>948.2</v>
      </c>
      <c r="F50">
        <v>1399.95</v>
      </c>
      <c r="G50">
        <v>1669.49</v>
      </c>
      <c r="H50">
        <v>2816.06</v>
      </c>
      <c r="I50">
        <v>1238.27</v>
      </c>
      <c r="J50">
        <v>1702.17</v>
      </c>
      <c r="K50">
        <v>2127.2399999999998</v>
      </c>
    </row>
    <row r="51" spans="1:11" x14ac:dyDescent="0.3">
      <c r="A51" s="9" t="s">
        <v>13</v>
      </c>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42460</v>
      </c>
      <c r="C56" s="16">
        <v>42825</v>
      </c>
      <c r="D56" s="16">
        <v>43190</v>
      </c>
      <c r="E56" s="16">
        <v>43555</v>
      </c>
      <c r="F56" s="16">
        <v>43921</v>
      </c>
      <c r="G56" s="16">
        <v>44286</v>
      </c>
      <c r="H56" s="16">
        <v>44651</v>
      </c>
      <c r="I56" s="16">
        <v>45016</v>
      </c>
      <c r="J56" s="16">
        <v>45382</v>
      </c>
      <c r="K56" s="16">
        <v>45747</v>
      </c>
    </row>
    <row r="57" spans="1:11" x14ac:dyDescent="0.3">
      <c r="A57" s="9" t="s">
        <v>24</v>
      </c>
      <c r="B57">
        <v>240</v>
      </c>
      <c r="C57">
        <v>223.36</v>
      </c>
      <c r="D57">
        <v>243.66</v>
      </c>
      <c r="E57">
        <v>243.66</v>
      </c>
      <c r="F57">
        <v>243.66</v>
      </c>
      <c r="G57">
        <v>243.66</v>
      </c>
      <c r="H57">
        <v>243.66</v>
      </c>
      <c r="I57">
        <v>730.98</v>
      </c>
      <c r="J57">
        <v>730.98</v>
      </c>
      <c r="K57">
        <v>730.98</v>
      </c>
    </row>
    <row r="58" spans="1:11" x14ac:dyDescent="0.3">
      <c r="A58" s="9" t="s">
        <v>25</v>
      </c>
      <c r="B58">
        <v>9006.16</v>
      </c>
      <c r="C58">
        <v>7512.41</v>
      </c>
      <c r="D58">
        <v>7772.02</v>
      </c>
      <c r="E58">
        <v>8967.84</v>
      </c>
      <c r="F58">
        <v>9827.8700000000008</v>
      </c>
      <c r="G58">
        <v>10815.92</v>
      </c>
      <c r="H58">
        <v>12042.27</v>
      </c>
      <c r="I58">
        <v>13130.65</v>
      </c>
      <c r="J58">
        <v>15595.49</v>
      </c>
      <c r="K58">
        <v>19242.91</v>
      </c>
    </row>
    <row r="59" spans="1:11" x14ac:dyDescent="0.3">
      <c r="A59" s="9" t="s">
        <v>71</v>
      </c>
      <c r="B59">
        <v>28.39</v>
      </c>
      <c r="C59">
        <v>63.58</v>
      </c>
      <c r="D59">
        <v>80.36</v>
      </c>
      <c r="E59">
        <v>33.630000000000003</v>
      </c>
      <c r="F59">
        <v>8.33</v>
      </c>
      <c r="H59">
        <v>52.7</v>
      </c>
      <c r="I59">
        <v>61.34</v>
      </c>
      <c r="J59">
        <v>62.51</v>
      </c>
      <c r="K59">
        <v>61.23</v>
      </c>
    </row>
    <row r="60" spans="1:11" x14ac:dyDescent="0.3">
      <c r="A60" s="9" t="s">
        <v>72</v>
      </c>
      <c r="B60">
        <v>9330.39</v>
      </c>
      <c r="C60">
        <v>9800.2900000000009</v>
      </c>
      <c r="D60">
        <v>10868.48</v>
      </c>
      <c r="E60">
        <v>11575.45</v>
      </c>
      <c r="F60">
        <v>14270.66</v>
      </c>
      <c r="G60">
        <v>18434.29</v>
      </c>
      <c r="H60">
        <v>21573.51</v>
      </c>
      <c r="I60">
        <v>21567.02</v>
      </c>
      <c r="J60">
        <v>23135.5</v>
      </c>
      <c r="K60">
        <v>20788.45</v>
      </c>
    </row>
    <row r="61" spans="1:11" s="1" customFormat="1" x14ac:dyDescent="0.3">
      <c r="A61" s="1" t="s">
        <v>26</v>
      </c>
      <c r="B61">
        <v>18604.939999999999</v>
      </c>
      <c r="C61">
        <v>17599.64</v>
      </c>
      <c r="D61">
        <v>18964.52</v>
      </c>
      <c r="E61">
        <v>20820.580000000002</v>
      </c>
      <c r="F61">
        <v>24350.52</v>
      </c>
      <c r="G61">
        <v>29493.87</v>
      </c>
      <c r="H61">
        <v>33912.14</v>
      </c>
      <c r="I61">
        <v>35489.99</v>
      </c>
      <c r="J61">
        <v>39524.480000000003</v>
      </c>
      <c r="K61">
        <v>40823.57</v>
      </c>
    </row>
    <row r="62" spans="1:11" x14ac:dyDescent="0.3">
      <c r="A62" s="9" t="s">
        <v>27</v>
      </c>
      <c r="B62">
        <v>1231.8399999999999</v>
      </c>
      <c r="C62">
        <v>1501.1</v>
      </c>
      <c r="D62">
        <v>1839.05</v>
      </c>
      <c r="E62">
        <v>2297.6</v>
      </c>
      <c r="F62">
        <v>2712.59</v>
      </c>
      <c r="G62">
        <v>2652.14</v>
      </c>
      <c r="H62">
        <v>2675.26</v>
      </c>
      <c r="I62">
        <v>2962.86</v>
      </c>
      <c r="J62">
        <v>3035.21</v>
      </c>
      <c r="K62">
        <v>3419.23</v>
      </c>
    </row>
    <row r="63" spans="1:11" x14ac:dyDescent="0.3">
      <c r="A63" s="9" t="s">
        <v>28</v>
      </c>
      <c r="B63">
        <v>429.79</v>
      </c>
      <c r="C63">
        <v>742.81</v>
      </c>
      <c r="D63">
        <v>940.05</v>
      </c>
      <c r="E63">
        <v>849.03</v>
      </c>
      <c r="F63">
        <v>827.98</v>
      </c>
      <c r="G63">
        <v>882.68</v>
      </c>
      <c r="H63">
        <v>1006.04</v>
      </c>
      <c r="I63">
        <v>854.94</v>
      </c>
      <c r="J63">
        <v>893.72</v>
      </c>
      <c r="K63">
        <v>1051.8</v>
      </c>
    </row>
    <row r="64" spans="1:11" x14ac:dyDescent="0.3">
      <c r="A64" s="9" t="s">
        <v>29</v>
      </c>
      <c r="B64">
        <v>462.46</v>
      </c>
      <c r="C64">
        <v>490.96</v>
      </c>
      <c r="D64">
        <v>937.34</v>
      </c>
      <c r="E64">
        <v>964.42</v>
      </c>
      <c r="F64">
        <v>1110.32</v>
      </c>
      <c r="G64">
        <v>1305.94</v>
      </c>
      <c r="H64">
        <v>1572.02</v>
      </c>
      <c r="I64">
        <v>649.99</v>
      </c>
      <c r="J64">
        <v>682.23</v>
      </c>
      <c r="K64">
        <v>742.97</v>
      </c>
    </row>
    <row r="65" spans="1:11" x14ac:dyDescent="0.3">
      <c r="A65" s="9" t="s">
        <v>73</v>
      </c>
      <c r="B65">
        <v>16480.849999999999</v>
      </c>
      <c r="C65">
        <v>14864.77</v>
      </c>
      <c r="D65">
        <v>15248.08</v>
      </c>
      <c r="E65">
        <v>16709.53</v>
      </c>
      <c r="F65">
        <v>19699.63</v>
      </c>
      <c r="G65">
        <v>24653.11</v>
      </c>
      <c r="H65">
        <v>28658.82</v>
      </c>
      <c r="I65">
        <v>31022.2</v>
      </c>
      <c r="J65">
        <v>34913.32</v>
      </c>
      <c r="K65">
        <v>35609.57</v>
      </c>
    </row>
    <row r="66" spans="1:11" s="1" customFormat="1" x14ac:dyDescent="0.3">
      <c r="A66" s="1" t="s">
        <v>26</v>
      </c>
      <c r="B66">
        <v>18604.939999999999</v>
      </c>
      <c r="C66">
        <v>17599.64</v>
      </c>
      <c r="D66">
        <v>18964.52</v>
      </c>
      <c r="E66">
        <v>20820.580000000002</v>
      </c>
      <c r="F66">
        <v>24350.52</v>
      </c>
      <c r="G66">
        <v>29493.87</v>
      </c>
      <c r="H66">
        <v>33912.14</v>
      </c>
      <c r="I66">
        <v>35489.99</v>
      </c>
      <c r="J66">
        <v>39524.480000000003</v>
      </c>
      <c r="K66">
        <v>40823.57</v>
      </c>
    </row>
    <row r="67" spans="1:11" s="9" customFormat="1" x14ac:dyDescent="0.3">
      <c r="A67" s="9" t="s">
        <v>78</v>
      </c>
      <c r="B67">
        <v>3721.91</v>
      </c>
      <c r="C67">
        <v>4368.26</v>
      </c>
      <c r="D67">
        <v>5014.3</v>
      </c>
      <c r="E67">
        <v>5373.67</v>
      </c>
      <c r="F67">
        <v>6724.02</v>
      </c>
      <c r="G67">
        <v>6561.99</v>
      </c>
      <c r="H67">
        <v>6108.09</v>
      </c>
      <c r="I67">
        <v>7033.48</v>
      </c>
      <c r="J67">
        <v>7392.38</v>
      </c>
      <c r="K67">
        <v>9116.3700000000008</v>
      </c>
    </row>
    <row r="68" spans="1:11" x14ac:dyDescent="0.3">
      <c r="A68" s="9" t="s">
        <v>45</v>
      </c>
      <c r="B68">
        <v>4157.6499999999996</v>
      </c>
      <c r="C68">
        <v>4885.03</v>
      </c>
      <c r="D68">
        <v>4583.37</v>
      </c>
      <c r="E68">
        <v>4443.3500000000004</v>
      </c>
      <c r="F68">
        <v>3960.51</v>
      </c>
      <c r="G68">
        <v>4970.28</v>
      </c>
      <c r="H68">
        <v>5594.91</v>
      </c>
      <c r="I68">
        <v>6449.75</v>
      </c>
      <c r="J68">
        <v>7450.16</v>
      </c>
      <c r="K68">
        <v>9120.2099999999991</v>
      </c>
    </row>
    <row r="69" spans="1:11" x14ac:dyDescent="0.3">
      <c r="A69" s="5" t="s">
        <v>87</v>
      </c>
      <c r="B69">
        <v>7216.11</v>
      </c>
      <c r="C69">
        <v>3827.19</v>
      </c>
      <c r="D69">
        <v>841.07</v>
      </c>
      <c r="E69">
        <v>971.87</v>
      </c>
      <c r="F69">
        <v>1660.5</v>
      </c>
      <c r="G69">
        <v>5073.76</v>
      </c>
      <c r="H69">
        <v>7563.74</v>
      </c>
      <c r="I69">
        <v>8111.58</v>
      </c>
      <c r="J69">
        <v>11056.59</v>
      </c>
      <c r="K69">
        <v>9545.1</v>
      </c>
    </row>
    <row r="70" spans="1:11" x14ac:dyDescent="0.3">
      <c r="A70" s="5" t="s">
        <v>74</v>
      </c>
      <c r="B70">
        <v>240000000</v>
      </c>
      <c r="C70">
        <v>2233627930</v>
      </c>
      <c r="D70">
        <v>2436592943</v>
      </c>
      <c r="E70">
        <v>2436592943</v>
      </c>
      <c r="F70">
        <v>2436592943</v>
      </c>
      <c r="G70">
        <v>2436592943</v>
      </c>
      <c r="H70">
        <v>2436592943</v>
      </c>
      <c r="I70">
        <v>7309778829</v>
      </c>
      <c r="J70">
        <v>7309778829</v>
      </c>
      <c r="K70">
        <v>7309778829</v>
      </c>
    </row>
    <row r="71" spans="1:11" x14ac:dyDescent="0.3">
      <c r="A71" s="5" t="s">
        <v>75</v>
      </c>
      <c r="B71">
        <v>160000000</v>
      </c>
      <c r="D71">
        <v>223362793</v>
      </c>
    </row>
    <row r="72" spans="1:11" x14ac:dyDescent="0.3">
      <c r="A72" s="5" t="s">
        <v>88</v>
      </c>
      <c r="B72">
        <v>10</v>
      </c>
      <c r="C72">
        <v>1</v>
      </c>
      <c r="D72">
        <v>1</v>
      </c>
      <c r="E72">
        <v>1</v>
      </c>
      <c r="F72">
        <v>1</v>
      </c>
      <c r="G72">
        <v>1</v>
      </c>
      <c r="H72">
        <v>1</v>
      </c>
      <c r="I72">
        <v>1</v>
      </c>
      <c r="J72">
        <v>1</v>
      </c>
      <c r="K72">
        <v>1</v>
      </c>
    </row>
    <row r="74" spans="1:11" x14ac:dyDescent="0.3">
      <c r="A74" s="9"/>
    </row>
    <row r="75" spans="1:11" x14ac:dyDescent="0.3">
      <c r="A75" s="9"/>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42460</v>
      </c>
      <c r="C81" s="16">
        <v>42825</v>
      </c>
      <c r="D81" s="16">
        <v>43190</v>
      </c>
      <c r="E81" s="16">
        <v>43555</v>
      </c>
      <c r="F81" s="16">
        <v>43921</v>
      </c>
      <c r="G81" s="16">
        <v>44286</v>
      </c>
      <c r="H81" s="16">
        <v>44651</v>
      </c>
      <c r="I81" s="16">
        <v>45016</v>
      </c>
      <c r="J81" s="16">
        <v>45382</v>
      </c>
      <c r="K81" s="16">
        <v>45747</v>
      </c>
    </row>
    <row r="82" spans="1:11" s="1" customFormat="1" x14ac:dyDescent="0.3">
      <c r="A82" s="9" t="s">
        <v>32</v>
      </c>
      <c r="B82">
        <v>2260.06</v>
      </c>
      <c r="C82">
        <v>-60.94</v>
      </c>
      <c r="D82">
        <v>-686.59</v>
      </c>
      <c r="E82">
        <v>1513.88</v>
      </c>
      <c r="F82">
        <v>2570.41</v>
      </c>
      <c r="G82">
        <v>5093.22</v>
      </c>
      <c r="H82">
        <v>4207.22</v>
      </c>
      <c r="I82">
        <v>1266.8599999999999</v>
      </c>
      <c r="J82">
        <v>4659.49</v>
      </c>
      <c r="K82">
        <v>586.62</v>
      </c>
    </row>
    <row r="83" spans="1:11" s="9" customFormat="1" x14ac:dyDescent="0.3">
      <c r="A83" s="9" t="s">
        <v>33</v>
      </c>
      <c r="B83">
        <v>-1470.34</v>
      </c>
      <c r="C83">
        <v>3114.65</v>
      </c>
      <c r="D83">
        <v>-6.41</v>
      </c>
      <c r="E83">
        <v>-895.94</v>
      </c>
      <c r="F83">
        <v>-648.96</v>
      </c>
      <c r="G83">
        <v>-2595.2199999999998</v>
      </c>
      <c r="H83">
        <v>-4871.66</v>
      </c>
      <c r="I83">
        <v>2690.84</v>
      </c>
      <c r="J83">
        <v>-5923.85</v>
      </c>
      <c r="K83">
        <v>616.94000000000005</v>
      </c>
    </row>
    <row r="84" spans="1:11" s="9" customFormat="1" x14ac:dyDescent="0.3">
      <c r="A84" s="9" t="s">
        <v>34</v>
      </c>
      <c r="B84">
        <v>-317.7</v>
      </c>
      <c r="C84">
        <v>-2856.8</v>
      </c>
      <c r="D84">
        <v>-1202.3800000000001</v>
      </c>
      <c r="E84">
        <v>-662.67</v>
      </c>
      <c r="F84">
        <v>-1060.52</v>
      </c>
      <c r="G84">
        <v>-1075.73</v>
      </c>
      <c r="H84">
        <v>-1077.5999999999999</v>
      </c>
      <c r="I84">
        <v>-1312.87</v>
      </c>
      <c r="J84">
        <v>-1475.01</v>
      </c>
      <c r="K84">
        <v>-1696.43</v>
      </c>
    </row>
    <row r="85" spans="1:11" s="1" customFormat="1" x14ac:dyDescent="0.3">
      <c r="A85" s="9" t="s">
        <v>35</v>
      </c>
      <c r="B85">
        <v>472.02</v>
      </c>
      <c r="C85">
        <v>196.91</v>
      </c>
      <c r="D85">
        <v>-1895.38</v>
      </c>
      <c r="E85">
        <v>-44.73</v>
      </c>
      <c r="F85">
        <v>860.93</v>
      </c>
      <c r="G85">
        <v>1422.27</v>
      </c>
      <c r="H85">
        <v>-1742.04</v>
      </c>
      <c r="I85">
        <v>2644.83</v>
      </c>
      <c r="J85">
        <v>-2739.37</v>
      </c>
      <c r="K85">
        <v>-492.87</v>
      </c>
    </row>
    <row r="86" spans="1:11" x14ac:dyDescent="0.3">
      <c r="A86" s="9"/>
    </row>
    <row r="87" spans="1:11" x14ac:dyDescent="0.3">
      <c r="A87" s="9"/>
    </row>
    <row r="88" spans="1:11" x14ac:dyDescent="0.3">
      <c r="A88" s="9"/>
    </row>
    <row r="89" spans="1:11" x14ac:dyDescent="0.3">
      <c r="A89" s="9"/>
    </row>
    <row r="90" spans="1:11" s="1" customFormat="1" x14ac:dyDescent="0.3">
      <c r="A90" s="1" t="s">
        <v>77</v>
      </c>
      <c r="B90">
        <v>37.1</v>
      </c>
      <c r="C90">
        <v>47.5</v>
      </c>
      <c r="D90">
        <v>47.15</v>
      </c>
      <c r="E90">
        <v>31.08</v>
      </c>
      <c r="F90">
        <v>24.82</v>
      </c>
      <c r="G90">
        <v>41.7</v>
      </c>
      <c r="H90">
        <v>70.27</v>
      </c>
      <c r="I90">
        <v>97.55</v>
      </c>
      <c r="J90">
        <v>201.5</v>
      </c>
      <c r="K90">
        <v>301.32</v>
      </c>
    </row>
    <row r="92" spans="1:11" s="1" customFormat="1" x14ac:dyDescent="0.3">
      <c r="A92" s="1" t="s">
        <v>76</v>
      </c>
    </row>
    <row r="93" spans="1:11" x14ac:dyDescent="0.3">
      <c r="A93" s="5" t="s">
        <v>89</v>
      </c>
      <c r="B93" s="31">
        <v>792</v>
      </c>
      <c r="C93" s="31">
        <v>737.1</v>
      </c>
      <c r="D93" s="31">
        <v>730.98</v>
      </c>
      <c r="E93" s="31">
        <v>730.98</v>
      </c>
      <c r="F93" s="31">
        <v>730.98</v>
      </c>
      <c r="G93" s="31">
        <v>730.98</v>
      </c>
      <c r="H93" s="31">
        <v>730.98</v>
      </c>
      <c r="I93" s="31">
        <v>730.98</v>
      </c>
      <c r="J93" s="31">
        <v>730.98</v>
      </c>
      <c r="K93" s="31">
        <v>730.98</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Assumptions</vt:lpstr>
      <vt:lpstr>Historial IS</vt:lpstr>
      <vt:lpstr>Historical BS</vt:lpstr>
      <vt:lpstr>Historical CF</vt:lpstr>
      <vt:lpstr>Summary</vt:lpstr>
      <vt:lpstr>Beta</vt:lpstr>
      <vt:lpstr>Market Data</vt:lpstr>
      <vt:lpstr>Comps valution</vt:lpstr>
      <vt:lpstr>WACC</vt:lpstr>
      <vt:lpstr>Sheet1</vt:lpstr>
      <vt:lpstr>Forecasts &amp; support schedules</vt:lpstr>
      <vt:lpstr>Ratio analysis</vt:lpstr>
      <vt:lpstr>Common Size</vt:lpstr>
      <vt:lpstr>Profit &amp; Loss</vt:lpstr>
      <vt:lpstr>Quarters</vt:lpstr>
      <vt:lpstr>DCF valuation &amp; sensitivity</vt:lpstr>
      <vt:lpstr>Sheet5</vt:lpstr>
      <vt:lpstr>Balance Sheet</vt:lpstr>
      <vt:lpstr>Cash Flow</vt:lpstr>
      <vt:lpstr>Customization</vt:lpstr>
      <vt:lpstr>Data Sheet</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Anuj</cp:lastModifiedBy>
  <cp:lastPrinted>2012-12-06T18:14:13Z</cp:lastPrinted>
  <dcterms:created xsi:type="dcterms:W3CDTF">2012-08-17T09:55:37Z</dcterms:created>
  <dcterms:modified xsi:type="dcterms:W3CDTF">2026-03-16T09:13:12Z</dcterms:modified>
</cp:coreProperties>
</file>